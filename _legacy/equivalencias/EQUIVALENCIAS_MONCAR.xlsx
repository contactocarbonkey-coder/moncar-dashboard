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KeyCarbon\claude MONCAR RMH\"/>
    </mc:Choice>
  </mc:AlternateContent>
  <xr:revisionPtr revIDLastSave="0" documentId="13_ncr:1_{73A2A8EA-B8A1-4C7C-8615-5A7DF8975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cador" sheetId="1" r:id="rId1"/>
    <sheet name="Tabla Equiv" sheetId="2" r:id="rId2"/>
    <sheet name="Lista de Precios" sheetId="3" r:id="rId3"/>
  </sheets>
  <definedNames>
    <definedName name="_xlnm._FilterDatabase" localSheetId="2" hidden="1">'Lista de Precios'!$A$1:$I$350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F15" i="1" s="1"/>
  <c r="A14" i="1"/>
  <c r="G14" i="1" s="1"/>
  <c r="A13" i="1"/>
  <c r="F13" i="1" s="1"/>
  <c r="A12" i="1"/>
  <c r="G12" i="1" s="1"/>
  <c r="A11" i="1"/>
  <c r="F11" i="1" s="1"/>
  <c r="A10" i="1"/>
  <c r="H10" i="1" s="1"/>
  <c r="A9" i="1"/>
  <c r="F9" i="1" s="1"/>
  <c r="A8" i="1"/>
  <c r="H8" i="1" s="1"/>
  <c r="A6" i="1"/>
  <c r="H9" i="1" l="1"/>
  <c r="H13" i="1"/>
  <c r="H14" i="1"/>
  <c r="G9" i="1"/>
  <c r="H12" i="1"/>
  <c r="G13" i="1"/>
  <c r="G11" i="1"/>
  <c r="H11" i="1"/>
  <c r="G15" i="1"/>
  <c r="H15" i="1"/>
  <c r="B8" i="1"/>
  <c r="B10" i="1"/>
  <c r="B12" i="1"/>
  <c r="B14" i="1"/>
  <c r="C8" i="1"/>
  <c r="C10" i="1"/>
  <c r="C12" i="1"/>
  <c r="C14" i="1"/>
  <c r="D8" i="1"/>
  <c r="D10" i="1"/>
  <c r="D12" i="1"/>
  <c r="D14" i="1"/>
  <c r="E8" i="1"/>
  <c r="E10" i="1"/>
  <c r="E12" i="1"/>
  <c r="E14" i="1"/>
  <c r="F8" i="1"/>
  <c r="F10" i="1"/>
  <c r="F12" i="1"/>
  <c r="F14" i="1"/>
  <c r="G8" i="1"/>
  <c r="G10" i="1"/>
  <c r="B9" i="1"/>
  <c r="B11" i="1"/>
  <c r="B13" i="1"/>
  <c r="B15" i="1"/>
  <c r="C9" i="1"/>
  <c r="C11" i="1"/>
  <c r="C13" i="1"/>
  <c r="C15" i="1"/>
  <c r="D9" i="1"/>
  <c r="D11" i="1"/>
  <c r="D13" i="1"/>
  <c r="D15" i="1"/>
  <c r="E9" i="1"/>
  <c r="E11" i="1"/>
  <c r="E13" i="1"/>
  <c r="E15" i="1"/>
</calcChain>
</file>

<file path=xl/sharedStrings.xml><?xml version="1.0" encoding="utf-8"?>
<sst xmlns="http://schemas.openxmlformats.org/spreadsheetml/2006/main" count="1536" uniqueCount="721">
  <si>
    <t>BUSCADOR DE EQUIVALENCIAS  |  MONCAR</t>
  </si>
  <si>
    <t>Escribe el codigo en la celda amarilla. Las equivalencias aparecen automaticamente.</t>
  </si>
  <si>
    <t>CODIGO A BUSCAR:</t>
  </si>
  <si>
    <t xml:space="preserve">  Ej: CF 001  |  CF 055  |  CF 751  |  CE 044</t>
  </si>
  <si>
    <t>COD. EQUIVALENTE</t>
  </si>
  <si>
    <t>TERMINAL</t>
  </si>
  <si>
    <t>ESP</t>
  </si>
  <si>
    <t>ANCH</t>
  </si>
  <si>
    <t>LARG</t>
  </si>
  <si>
    <t>MARCA</t>
  </si>
  <si>
    <t>MODELOS Y APLICACIONES</t>
  </si>
  <si>
    <t>PRECIO UNIT</t>
  </si>
  <si>
    <t>COD</t>
  </si>
  <si>
    <t>EQUIV_1</t>
  </si>
  <si>
    <t>EQUIV_2</t>
  </si>
  <si>
    <t>EQUIV_3</t>
  </si>
  <si>
    <t>EQUIV_4</t>
  </si>
  <si>
    <t>EQUIV_5</t>
  </si>
  <si>
    <t>EQUIV_6</t>
  </si>
  <si>
    <t>EQUIV_7</t>
  </si>
  <si>
    <t>EQUIV_8</t>
  </si>
  <si>
    <t>CE 044</t>
  </si>
  <si>
    <t>CE 301</t>
  </si>
  <si>
    <t>CE 046</t>
  </si>
  <si>
    <t>CF 021</t>
  </si>
  <si>
    <t>CE 223</t>
  </si>
  <si>
    <t>CF 033</t>
  </si>
  <si>
    <t>CE 225</t>
  </si>
  <si>
    <t>CE 226</t>
  </si>
  <si>
    <t>CF 001</t>
  </si>
  <si>
    <t>CF 589</t>
  </si>
  <si>
    <t>CF 002</t>
  </si>
  <si>
    <t>CF 590</t>
  </si>
  <si>
    <t>CF 591</t>
  </si>
  <si>
    <t>CF 003</t>
  </si>
  <si>
    <t>CF 586</t>
  </si>
  <si>
    <t>CF 012</t>
  </si>
  <si>
    <t>CF 671</t>
  </si>
  <si>
    <t>CF 013</t>
  </si>
  <si>
    <t>CF 506</t>
  </si>
  <si>
    <t>CF 016</t>
  </si>
  <si>
    <t>CF 604</t>
  </si>
  <si>
    <t>CF 610</t>
  </si>
  <si>
    <t>CF 019</t>
  </si>
  <si>
    <t>CF 656</t>
  </si>
  <si>
    <t>CF 020</t>
  </si>
  <si>
    <t>CF 731</t>
  </si>
  <si>
    <t>CF 887</t>
  </si>
  <si>
    <t>CF 972</t>
  </si>
  <si>
    <t>CF 040</t>
  </si>
  <si>
    <t>CF 763</t>
  </si>
  <si>
    <t>CF 042</t>
  </si>
  <si>
    <t>CF 711</t>
  </si>
  <si>
    <t>CF 055</t>
  </si>
  <si>
    <t>CF 241</t>
  </si>
  <si>
    <t>CF 665</t>
  </si>
  <si>
    <t>CF 674</t>
  </si>
  <si>
    <t>CF 701</t>
  </si>
  <si>
    <t>CF 759</t>
  </si>
  <si>
    <t>CF 850</t>
  </si>
  <si>
    <t>CF 889</t>
  </si>
  <si>
    <t>CF 950</t>
  </si>
  <si>
    <t>CF 990</t>
  </si>
  <si>
    <t>CF 057</t>
  </si>
  <si>
    <t>CF 062</t>
  </si>
  <si>
    <t>CF 058</t>
  </si>
  <si>
    <t>CF 620</t>
  </si>
  <si>
    <t>CF 066</t>
  </si>
  <si>
    <t>CF 605</t>
  </si>
  <si>
    <t>CF 098</t>
  </si>
  <si>
    <t>CF 623</t>
  </si>
  <si>
    <t>CF 116</t>
  </si>
  <si>
    <t>CF 705</t>
  </si>
  <si>
    <t>CF 181</t>
  </si>
  <si>
    <t>CF 608</t>
  </si>
  <si>
    <t>CF 192</t>
  </si>
  <si>
    <t>CF 606</t>
  </si>
  <si>
    <t>CF 252</t>
  </si>
  <si>
    <t>CF 654</t>
  </si>
  <si>
    <t>CF 702</t>
  </si>
  <si>
    <t>CF 851</t>
  </si>
  <si>
    <t>CF 402</t>
  </si>
  <si>
    <t>CF 556</t>
  </si>
  <si>
    <t>CF 499</t>
  </si>
  <si>
    <t>CF 703</t>
  </si>
  <si>
    <t>CF 852</t>
  </si>
  <si>
    <t>CF 500</t>
  </si>
  <si>
    <t>CF 502</t>
  </si>
  <si>
    <t>CF 504</t>
  </si>
  <si>
    <t>CF 853</t>
  </si>
  <si>
    <t>CF 503</t>
  </si>
  <si>
    <t>CF 588</t>
  </si>
  <si>
    <t>CF 611</t>
  </si>
  <si>
    <t>CF 505</t>
  </si>
  <si>
    <t>CF 650</t>
  </si>
  <si>
    <t>CF 753</t>
  </si>
  <si>
    <t>CF 507</t>
  </si>
  <si>
    <t>CF 635</t>
  </si>
  <si>
    <t>CF 508</t>
  </si>
  <si>
    <t>CF 758</t>
  </si>
  <si>
    <t>CF 509</t>
  </si>
  <si>
    <t>CF 551</t>
  </si>
  <si>
    <t>CF 757</t>
  </si>
  <si>
    <t>CF 767</t>
  </si>
  <si>
    <t>CF 552</t>
  </si>
  <si>
    <t>CF 730</t>
  </si>
  <si>
    <t>CF 603</t>
  </si>
  <si>
    <t>CF 619</t>
  </si>
  <si>
    <t>CF 651</t>
  </si>
  <si>
    <t>CF 649</t>
  </si>
  <si>
    <t>CF 712</t>
  </si>
  <si>
    <t>CF 917</t>
  </si>
  <si>
    <t>CF 652</t>
  </si>
  <si>
    <t>CF 764</t>
  </si>
  <si>
    <t>CF 653</t>
  </si>
  <si>
    <t>CF 885</t>
  </si>
  <si>
    <t>CF 666</t>
  </si>
  <si>
    <t>CF 769</t>
  </si>
  <si>
    <t>CF 886</t>
  </si>
  <si>
    <t>CF 888</t>
  </si>
  <si>
    <t>CF 751</t>
  </si>
  <si>
    <t>CF 970</t>
  </si>
  <si>
    <t>CF 766</t>
  </si>
  <si>
    <t>CF 900</t>
  </si>
  <si>
    <t>CF 881</t>
  </si>
  <si>
    <t>CF 954</t>
  </si>
  <si>
    <t>TIENE EQUIV.</t>
  </si>
  <si>
    <t>CC 101</t>
  </si>
  <si>
    <t>COBREADOS</t>
  </si>
  <si>
    <t>ATORNILLADOR BOSCH GSR 180</t>
  </si>
  <si>
    <t>CC 102</t>
  </si>
  <si>
    <t>ATORNILLADOR MAKITA CB 440</t>
  </si>
  <si>
    <t>DOWEN PAGGIO</t>
  </si>
  <si>
    <t>LIJADORAS - PULIDORAS LIXA</t>
  </si>
  <si>
    <t>SI</t>
  </si>
  <si>
    <t>TALADROS MARK- NIG- NTX- LO- LV</t>
  </si>
  <si>
    <t>TALADROS MINI 8 Y 10- N 210/ 213/ 210 E/ 213 E/ 213 B</t>
  </si>
  <si>
    <t>CF 004</t>
  </si>
  <si>
    <t>RR</t>
  </si>
  <si>
    <t>CF 005</t>
  </si>
  <si>
    <t>AMOL. 7"- MOD. AL 180</t>
  </si>
  <si>
    <t>CF 009</t>
  </si>
  <si>
    <t>BLACK Y DECKER</t>
  </si>
  <si>
    <t>LINEA 700- TALADROS- CAL 2301/ 2303 LIJADORA/ TAL. VARIOS</t>
  </si>
  <si>
    <t>CF 010</t>
  </si>
  <si>
    <t>DIAM</t>
  </si>
  <si>
    <t>TALADROS LINEA AR</t>
  </si>
  <si>
    <t>CF 011</t>
  </si>
  <si>
    <t>AMOL. 4 1/2 "- SAG 500- CALADORA M 531</t>
  </si>
  <si>
    <t>AMOLADORA DE 4 1/2 " P5432- P 5411 C / GUIA</t>
  </si>
  <si>
    <t>KG 11/ KG75 (CON AVISO DE DESGASTE)</t>
  </si>
  <si>
    <t>SIERRA CIRCULAR DE 7 1/4 " Y 9"</t>
  </si>
  <si>
    <t>CF 014</t>
  </si>
  <si>
    <t>AMOLADORAS SMEA DE 7 " Y 9"</t>
  </si>
  <si>
    <t>CF 015</t>
  </si>
  <si>
    <t>AMOLADORA AG/C- AMOL. 7" HD 2180- AMOL. 9" HD 2230</t>
  </si>
  <si>
    <t>BOSCH</t>
  </si>
  <si>
    <t>AMOLADORAS 7" Y 9" - MOD. 1321/ 2 - 1331/ 2 CON AVISO DE DESGASTE</t>
  </si>
  <si>
    <t>CF 017</t>
  </si>
  <si>
    <t>AMOL 41/2¨ GWS 6-115/GWS 7-115/GWS 7-115ET/GWS 8-115 (CON AVISO DE DESGASTE)</t>
  </si>
  <si>
    <t>CF 018</t>
  </si>
  <si>
    <t>AMOL. DE 7" Y 9"- MOD. ALEMAN 1307/ 1309</t>
  </si>
  <si>
    <t>TALADROS MOD. 1106/ 350/ GBM 10/ 13 RB/ 1163/ 1171/ 1184/ 11226</t>
  </si>
  <si>
    <t>AMOL. 7 y 9" GWS 22-10/22-230/GWS 24-180/24-230/GWS 26-180(CON AVISO)</t>
  </si>
  <si>
    <t>TAL. PER. 13- MOD. 3161/ 3238/ 1169 CAL. PST 54 PE</t>
  </si>
  <si>
    <t>CF 022</t>
  </si>
  <si>
    <t>MARTILLO MODELO 11205 CON AVISO</t>
  </si>
  <si>
    <t>CF 023</t>
  </si>
  <si>
    <t>LIJADORA MOD. 1317</t>
  </si>
  <si>
    <t>CON AVISO DE DESGASTE</t>
  </si>
  <si>
    <t>CF 024</t>
  </si>
  <si>
    <t>AMOL. DE 4 1/2" - MOD. 1327</t>
  </si>
  <si>
    <t>CF 025</t>
  </si>
  <si>
    <t>TALADRO ROTOPERCUTOR MOD. 0173/ 1111</t>
  </si>
  <si>
    <t>CF 027</t>
  </si>
  <si>
    <t>DOVER</t>
  </si>
  <si>
    <t>LIJADORA- PULIDORA</t>
  </si>
  <si>
    <t>CF 028</t>
  </si>
  <si>
    <t>AMOLADORA DE 7 Y 9- LINEA 80</t>
  </si>
  <si>
    <t>CF 029</t>
  </si>
  <si>
    <t>AMOLADORA DE 7 Y 9- LINEA 90</t>
  </si>
  <si>
    <t>CF 030</t>
  </si>
  <si>
    <t>AMOLADORA DE 4 (MODELO VIEJO)</t>
  </si>
  <si>
    <t>CF 031</t>
  </si>
  <si>
    <t>AMOLADORA DE 4 (MODELO NUEVO)</t>
  </si>
  <si>
    <t>DREMEL</t>
  </si>
  <si>
    <t>MINITORNO</t>
  </si>
  <si>
    <t>CF 034</t>
  </si>
  <si>
    <t>DRILL - MET</t>
  </si>
  <si>
    <t>MINI DRIL</t>
  </si>
  <si>
    <t>CF 035</t>
  </si>
  <si>
    <t>TORNO 1/4"</t>
  </si>
  <si>
    <t>CF 036</t>
  </si>
  <si>
    <t>TORNO 1/8"</t>
  </si>
  <si>
    <t>HITACHI</t>
  </si>
  <si>
    <t>PDM 180/230- PDU 180/230- DPU 180/230-PDH 180- PSU 7/8/9- PSP 9- CC 16</t>
  </si>
  <si>
    <t>CF 041</t>
  </si>
  <si>
    <t>PDM 115.PDP 115-PDS 115- F 20- F 20 A- JH 60- JHV 60. JH 560</t>
  </si>
  <si>
    <t>SAT 180- F 30 A-SB 75- PSU 6- PS 7 B-TR 8- PR 25 B- PR 38 B</t>
  </si>
  <si>
    <t>CF 043</t>
  </si>
  <si>
    <t>FFE 20- FH 35- FSO 93</t>
  </si>
  <si>
    <t>CF 044</t>
  </si>
  <si>
    <t>PR50-PS11-F40/ 50-DUPN2/CS280A/350A/F50A/ P40/ CS28B/ 35B/ NUK- RN</t>
  </si>
  <si>
    <t>CF 045</t>
  </si>
  <si>
    <t>HU 12/ 14- SR 15- PS 11- SB 110</t>
  </si>
  <si>
    <t>CF 053</t>
  </si>
  <si>
    <t>MAKITA</t>
  </si>
  <si>
    <t>MARTILLOCB175-MARTILLOHR5210-MARTILLOHR4510C-HM1214C-HM1317CB-HM1203C-HM1307CB</t>
  </si>
  <si>
    <t>CF 054</t>
  </si>
  <si>
    <t>(CB303)AMOLADORA 4 1/2 9015-TALADRO6305-LIJADORA9404/9920/9927-CEPILLOMKPO83</t>
  </si>
  <si>
    <t>(CB55)CORTACERCO UH4500/UH6300-TALADRO6300-4/6300T/6701B-AMOLAD.4 1/2 9500 N</t>
  </si>
  <si>
    <t>CF 056</t>
  </si>
  <si>
    <t>(CB203) AMOL. DE 7" Y 9" GA 7020/70405/9067/9069/9049 -SIERRA 2414 NB</t>
  </si>
  <si>
    <t>(CB155)MARTILLO10KG1202/HM1301/HR4500/HR5000-AMOL7"/9"9609-SIERRA CIR.5007/5700</t>
  </si>
  <si>
    <t>MARTINS</t>
  </si>
  <si>
    <t>AMOL. MP 9007/ 9009/ 9700/ 9900- MPRA 9700/ 9900</t>
  </si>
  <si>
    <t>CF 059</t>
  </si>
  <si>
    <t>AMOL. MP 635- MS 9004/ 9400/ 9450- CALAD. MC 2000/3000- LIJ. MH 40</t>
  </si>
  <si>
    <t>CF 060</t>
  </si>
  <si>
    <t>TAL. ML 5/ 5N/ NB/ NBA/ NA- M510/ 510 V/ 513- MP 10 N2/ 13 MZA</t>
  </si>
  <si>
    <t>CF 061</t>
  </si>
  <si>
    <t>LIJADORAS MHV2- MH24/ 35/ 45. TALADRO PESADO ME 5- MI</t>
  </si>
  <si>
    <t>CB 152- AMOLADORA MS 8007</t>
  </si>
  <si>
    <t>CF 063</t>
  </si>
  <si>
    <t>SIERRA CIRCULAR 7" MY 184</t>
  </si>
  <si>
    <t>METABO</t>
  </si>
  <si>
    <t>113-AMOL 4 1/2"- 6112/ 6114/ 6114S/ 7126/ 7117/ GS 7141/ EWE 9125- LF 714</t>
  </si>
  <si>
    <t>CON AVISO DESGASTE</t>
  </si>
  <si>
    <t>CF 067</t>
  </si>
  <si>
    <t>084-AMOL. 7 Y 9"-1917/ 1929/ 2118/ 2123/ 1923/ 19180/ 19230/ 20180/ 21230</t>
  </si>
  <si>
    <t>CF 068</t>
  </si>
  <si>
    <t>PEUGEOT</t>
  </si>
  <si>
    <t>TAL. 10 MOD. PC 400 ER -PC 402 P- LIJ. ORB. PV 240- CORT. CERC.JH 42 F</t>
  </si>
  <si>
    <t>CF 069</t>
  </si>
  <si>
    <t>TAL. 16 MOD. PC 1010 RCA- AMOL. ANG. 115 AM</t>
  </si>
  <si>
    <t>CF 070</t>
  </si>
  <si>
    <t>AMOL. ANG. 7" MOD. 180 MA Y 9" MOD. 230 MA</t>
  </si>
  <si>
    <t>CF 094</t>
  </si>
  <si>
    <t>SKIL</t>
  </si>
  <si>
    <t>GARLOPA 944- TAL. 6432/ 6634- LIJ. ORB. 663- LIJ. BANDA 7313</t>
  </si>
  <si>
    <t>CF 095</t>
  </si>
  <si>
    <t>TAL. 503/ 541/ 560/ 569- CALADORAS 432/ 482/ 487- CORTAD. 532H/ 533H</t>
  </si>
  <si>
    <t>CF 096</t>
  </si>
  <si>
    <t>SIERRAS MOD. 538/ 574</t>
  </si>
  <si>
    <t>CF 097</t>
  </si>
  <si>
    <t>STAYER</t>
  </si>
  <si>
    <t>AMOL. 4 1/2"- SA7/ SA107- SAP 55- SA 115- SA 100- W 500- L 190</t>
  </si>
  <si>
    <t>AMOL. 7"- SA 12/ SA 12 AL/ 9"- SA 10/ SA 10 AL CON AVISO DE DESGASTE</t>
  </si>
  <si>
    <t>CF 099</t>
  </si>
  <si>
    <t>AMOLADORAS 7" Y 9" (MODELO VIEJO)</t>
  </si>
  <si>
    <t>CF 100</t>
  </si>
  <si>
    <t>AMOLADORAS 7" Y 9" (2300 W) MOD. 295/ 297</t>
  </si>
  <si>
    <t>CF 114</t>
  </si>
  <si>
    <t>CB 52- AMOL DE 4 MOD. 9500 N</t>
  </si>
  <si>
    <t>CF 115</t>
  </si>
  <si>
    <t>CB 1- CEPILLOS 1000 SB- RECTIFICADORA 903</t>
  </si>
  <si>
    <t>(CB100)MARTILLO HM810/HR2010- CEPILLO PC1100- LIJ.9924B/9741/99003-AMOL.4 1/2 9207B</t>
  </si>
  <si>
    <t>CF 118</t>
  </si>
  <si>
    <t>067- TALADROS 621- MART. 6010/ 6018/ 6019/ 6026/ 102</t>
  </si>
  <si>
    <t>CF 119</t>
  </si>
  <si>
    <t>123/ 126/ 125- TALADROS- BE 250- SR 356- SXE 125-SBE 540/550</t>
  </si>
  <si>
    <t>CF 178</t>
  </si>
  <si>
    <t>DE WALT</t>
  </si>
  <si>
    <t>LUSTRALIJADORA WP 849X</t>
  </si>
  <si>
    <t>CF 179</t>
  </si>
  <si>
    <t>DWE 508 NUEVO-ATORNILLADOR 255-268 DWD 024</t>
  </si>
  <si>
    <t>CF 180</t>
  </si>
  <si>
    <t>AMOLADORA DWE 4212/4214</t>
  </si>
  <si>
    <t>AMOLADORA  ANGULAR 4 1/2 MOD.4020</t>
  </si>
  <si>
    <t>CF 183</t>
  </si>
  <si>
    <t>D28490/D28491/D28496/D28474W/D28476W/D28494M/D28496M(CON AVISO DE DESGASTE)</t>
  </si>
  <si>
    <t>CF 184</t>
  </si>
  <si>
    <t>CF 185</t>
  </si>
  <si>
    <t>DW 861 CORTADORA DE HORMIGON CON AVISO DE DESGASTE</t>
  </si>
  <si>
    <t>CF 186</t>
  </si>
  <si>
    <t>CF 187</t>
  </si>
  <si>
    <t>D25103/D25013K/D25113//D25123K/D25303/D25124K/D25313K/D25114K(CON AVISO DESG.)</t>
  </si>
  <si>
    <t>CF 188</t>
  </si>
  <si>
    <t>CON AVISO DE DESGASTE DW621 FRESADORA</t>
  </si>
  <si>
    <t>CF 189</t>
  </si>
  <si>
    <t>D28111/D28112/D28136AR/D28143/D28136/D28114 (CON AVISO DE DESGASTE)</t>
  </si>
  <si>
    <t>CF 190</t>
  </si>
  <si>
    <t>DW402/DW411/DW412/DW421/LIJADORA D26441/D26451/CAL. DW313/318/317/331/433</t>
  </si>
  <si>
    <t>CF 191</t>
  </si>
  <si>
    <t>DW476/DWDW848/DW852/DW498/DW849/DW478/DW492/DW852/DW892(CON AVISO DESG.)</t>
  </si>
  <si>
    <t>AMOL. ANGULAR 4 1/2"- DW 448- DW 816- LIJ. / DW 848 /AM DW 818 900W</t>
  </si>
  <si>
    <t>CF 193</t>
  </si>
  <si>
    <t>TALADROSDW502/DW502K/DW107/DW508S/DW508SK/DW507/DW503/DW505/512/210G/130V</t>
  </si>
  <si>
    <t>CF 194</t>
  </si>
  <si>
    <t>TALADRO PERCUTOR-. DW 501/ 503/ 508 - 507 TP 10/ 13 mm.</t>
  </si>
  <si>
    <t>CF 195</t>
  </si>
  <si>
    <t>CF 196</t>
  </si>
  <si>
    <t>CF 197</t>
  </si>
  <si>
    <t>CORTADORA DE CEMENTO DW 301 3062</t>
  </si>
  <si>
    <t>CF 198</t>
  </si>
  <si>
    <t>CPRTADORA SENSITIVA DW 870 TRAZADORA 14"</t>
  </si>
  <si>
    <t>COBRA</t>
  </si>
  <si>
    <t>AMOL.ANGULAR 4 1/2"- MOD. SIM 115 - SPRO/ BPRO</t>
  </si>
  <si>
    <t>CF 242</t>
  </si>
  <si>
    <t>LLUSTRALIJADORA MOD. LL 180 - AMOL.7 " -SIM 180</t>
  </si>
  <si>
    <t>CF 243</t>
  </si>
  <si>
    <t>CORTADORA SENSITIVA MOD. CO 355</t>
  </si>
  <si>
    <t>CF 250</t>
  </si>
  <si>
    <t>VERSA</t>
  </si>
  <si>
    <t>TALADRO DE MANO MOD KPHDO 306 380W</t>
  </si>
  <si>
    <t>CF 251</t>
  </si>
  <si>
    <t>TALADRO DEIMPACTO VELOCIDAD VARIABLE MOD KPIDO 807 810W</t>
  </si>
  <si>
    <t>TALADRO MANO VELOCIDAD VARIABLE MOD KPIDO 507 550W</t>
  </si>
  <si>
    <t>CF 253</t>
  </si>
  <si>
    <t>AMOLADORA ANGULAR MOD KPAGO 507 500W/ KPAGO 705 750W</t>
  </si>
  <si>
    <t>CF 255</t>
  </si>
  <si>
    <t>AMOLADORA ANGULAR MOD KPAGO 911 950W</t>
  </si>
  <si>
    <t>CF 256</t>
  </si>
  <si>
    <t>AMOLADORA ANGULAR MOD KPAG2002 2400W</t>
  </si>
  <si>
    <t>CF 257</t>
  </si>
  <si>
    <t>CALADORA ELECTRICA MOD KPJS 0704 750W</t>
  </si>
  <si>
    <t>CF 258</t>
  </si>
  <si>
    <t>CORTADORA SENSITIVA MOD A270 2200W</t>
  </si>
  <si>
    <t>CF 260</t>
  </si>
  <si>
    <t>TALADRO RECARGABLE MOD KPCDO 217 VELOCIDAD VARIABLE</t>
  </si>
  <si>
    <t>CF 261</t>
  </si>
  <si>
    <t>TALADRO DE IMPACTO MOD KPSTO 102 1200W</t>
  </si>
  <si>
    <t>CF 262</t>
  </si>
  <si>
    <t>TALADRO ROTOPERCUTOR MOD KPRHO 602 780W</t>
  </si>
  <si>
    <t>CF 263</t>
  </si>
  <si>
    <t>FRESADORA DE MANO MOD KPER 1203 1250W</t>
  </si>
  <si>
    <t>CF 264</t>
  </si>
  <si>
    <t>ACANALADORA DE MUROS MOD KPEHO 901 930W</t>
  </si>
  <si>
    <t>CF 341</t>
  </si>
  <si>
    <t>POWER TOOLS</t>
  </si>
  <si>
    <t>AMOL. 4 1/2" MOD. A 6115</t>
  </si>
  <si>
    <t>CF 342</t>
  </si>
  <si>
    <t>AMOL. 4 1/2" MOD. A 4115</t>
  </si>
  <si>
    <t>CF 343</t>
  </si>
  <si>
    <t>CALADORA MOD. K 3360</t>
  </si>
  <si>
    <t>CF 344</t>
  </si>
  <si>
    <t>SIERRA DE MESA MOD. C 8250 T</t>
  </si>
  <si>
    <t>CF 345</t>
  </si>
  <si>
    <t>AMOL. 7" MOD. A 9180</t>
  </si>
  <si>
    <t>CF 346</t>
  </si>
  <si>
    <t>TALADRO PERCUTOR MOD. P 2211</t>
  </si>
  <si>
    <t>CF 347</t>
  </si>
  <si>
    <t>CF 348</t>
  </si>
  <si>
    <t>ASPIRADORA MOD. V 8340</t>
  </si>
  <si>
    <t>CF 349</t>
  </si>
  <si>
    <t>CF 350</t>
  </si>
  <si>
    <t>TALADRO P6113/6513</t>
  </si>
  <si>
    <t>CF 351</t>
  </si>
  <si>
    <t>AMOLADORA 7 Y 9" MOD A-9230/ A-9180</t>
  </si>
  <si>
    <t>CF 352</t>
  </si>
  <si>
    <t>AMOLADORA MOD A-4115 4 1/2" - SIERRA CIRCULAR K-3360</t>
  </si>
  <si>
    <t>CF 353</t>
  </si>
  <si>
    <t>TALADRO 13MM MOD P-8213</t>
  </si>
  <si>
    <t>CF 354</t>
  </si>
  <si>
    <t>TALADRO T 9110 P9616 9213-9214</t>
  </si>
  <si>
    <t>CF 355</t>
  </si>
  <si>
    <t>AMOLADORA 7 Y 9" A-6180/230</t>
  </si>
  <si>
    <t>CF 401</t>
  </si>
  <si>
    <t>STANLEY</t>
  </si>
  <si>
    <t>AMOL. 7"Y 9"</t>
  </si>
  <si>
    <t>AMOL. 4 1/2" 8115 AR</t>
  </si>
  <si>
    <t>CF 403</t>
  </si>
  <si>
    <t>MARTILLO</t>
  </si>
  <si>
    <t>CF 491</t>
  </si>
  <si>
    <t>STINGRAY</t>
  </si>
  <si>
    <t>CF 492</t>
  </si>
  <si>
    <t>CF 493</t>
  </si>
  <si>
    <t>21/KP 08</t>
  </si>
  <si>
    <t>CF 494</t>
  </si>
  <si>
    <t>CORT. SENSITIVA 14"</t>
  </si>
  <si>
    <t>CF 495</t>
  </si>
  <si>
    <t>AMOLADORA 4"- SIM 115 SPRO/ BPRO</t>
  </si>
  <si>
    <t>CF 496</t>
  </si>
  <si>
    <t>MARTILLO ELECTRONEUMATICO MOD. ZIC 26 PRO/ ZIC 12 PRO</t>
  </si>
  <si>
    <t>CF 497</t>
  </si>
  <si>
    <t>AMOLADORA ANGULAR MOD. SIM 180 C</t>
  </si>
  <si>
    <t>CF 498</t>
  </si>
  <si>
    <t>SIERRA CIRCULAR PARA CONCRETO MOD. ZIE 180 PRO</t>
  </si>
  <si>
    <t>MS 300</t>
  </si>
  <si>
    <t>SIM - 115 BO 1135 CON TRABA PORTA CARBON</t>
  </si>
  <si>
    <t>CF 501</t>
  </si>
  <si>
    <t>AMOLADORA SIM/180</t>
  </si>
  <si>
    <t>SALKOR</t>
  </si>
  <si>
    <t>AMOLADORA 4 1/2" AA 216</t>
  </si>
  <si>
    <t>AMOLADORA 4 1/2" AA 6115 (CON AVISO DE DESGASTE)</t>
  </si>
  <si>
    <t>TALADRO TP 413 13 MM</t>
  </si>
  <si>
    <t>SENSITIVA CS 614</t>
  </si>
  <si>
    <t>GARLOPA</t>
  </si>
  <si>
    <t>TALADRO TP513/515</t>
  </si>
  <si>
    <t>SIERA CIRCULAR SC407/508</t>
  </si>
  <si>
    <t>TALADRO TP 813</t>
  </si>
  <si>
    <t>CF 550</t>
  </si>
  <si>
    <t>CB-415 LLAVE IMPACTO 6905H</t>
  </si>
  <si>
    <t>CORTADORA DE CERCO 4100 NH</t>
  </si>
  <si>
    <t>CB 459 AMOLADORA GA 4530 720W</t>
  </si>
  <si>
    <t>(CB325)AMOL4 1/2 9553/54/55/56/57-MARTILLO HR2230/2300/2450/2460/2470/2800/2810/2811</t>
  </si>
  <si>
    <t>CF 557</t>
  </si>
  <si>
    <t>KR500/510/532/ BH100/150/200/300/GL400</t>
  </si>
  <si>
    <t>CF 558</t>
  </si>
  <si>
    <t>7935/30 TALADRO</t>
  </si>
  <si>
    <t>CF 559</t>
  </si>
  <si>
    <t>BV 1400 SOPLADOR</t>
  </si>
  <si>
    <t>CF 560</t>
  </si>
  <si>
    <t>CF 585</t>
  </si>
  <si>
    <t>ADIABATIC</t>
  </si>
  <si>
    <t>EQUIPO DE PINTURA</t>
  </si>
  <si>
    <t>ARGENTEC</t>
  </si>
  <si>
    <t>TALADROS MINI 8 Y 10 Nº 210/213/210E/213E/213B</t>
  </si>
  <si>
    <t>CF 587</t>
  </si>
  <si>
    <t>AMOL 7¨LIJADORA CIRCULAR 7E / LG 180 C/AVISO DE DESGASTE</t>
  </si>
  <si>
    <t>AMOLADORA 5¨MOD 1385/6WS 14-125 CE INTERRUPTOR LATERAL CON AVISO DESGASTE</t>
  </si>
  <si>
    <t>CF 600</t>
  </si>
  <si>
    <t>SIERRA CIRCULAR 7359/7308</t>
  </si>
  <si>
    <t>CF 602</t>
  </si>
  <si>
    <t>AMOLADORA DE 4" CON AVISO DE DESGASTE</t>
  </si>
  <si>
    <t>PULIDORA MOD. 6138- 40</t>
  </si>
  <si>
    <t>KG 2000/KG 2001 (CON AVISO DE DESGASTE)</t>
  </si>
  <si>
    <t>ROTOPERCUTOR P 8020 CON AVISO DE DESGASTE</t>
  </si>
  <si>
    <t>AMOLADORA DE 4" 1/2- KG 10 / KG 11 CON AVISO DE DESGASTE</t>
  </si>
  <si>
    <t>AMOLADOR DE 4 1/2" - KG 62 / KG 65</t>
  </si>
  <si>
    <t>CF 609</t>
  </si>
  <si>
    <t>MARTILLO MOD. 11309</t>
  </si>
  <si>
    <t>MARTILLO MOD. 11304 CON AVISO DE DESGASTE</t>
  </si>
  <si>
    <t>AMOL. 5" -GWS 10-125/GWS 11-125CI/GWS 14-125/14-125INOX/GWS 15-125 (C. AVISO)</t>
  </si>
  <si>
    <t>CF 612</t>
  </si>
  <si>
    <t>AMOLADORA DE 4 1/2 MODELO NUEVO (CON AVISO)</t>
  </si>
  <si>
    <t>CF 613</t>
  </si>
  <si>
    <t>CF 614</t>
  </si>
  <si>
    <t>AMOLADORA MOD. 1793</t>
  </si>
  <si>
    <t>CF 615</t>
  </si>
  <si>
    <t>ROTOPERCUTOR</t>
  </si>
  <si>
    <t>CF 616</t>
  </si>
  <si>
    <t>TALADRO HOBBISTA</t>
  </si>
  <si>
    <t>CF 617</t>
  </si>
  <si>
    <t>LIJ. BANDA DW 430/ REBAJ. DE COLUM. DW 614 CEP. SW 675-44 3070</t>
  </si>
  <si>
    <t>CF 618</t>
  </si>
  <si>
    <t>SIERRA CIR.DW368/DW358/DW389/DW705/DW352/DW366/DW359</t>
  </si>
  <si>
    <t>SIERRA CIRC. 7 1/4" DW 352/ SIERRA VAIVEN DW 304/ PULID. DW 849</t>
  </si>
  <si>
    <t>SENSITIVA DW28700</t>
  </si>
  <si>
    <t>CF 621</t>
  </si>
  <si>
    <t>TALADRO ROTOPERCUTOR DW 514/ 523 3067</t>
  </si>
  <si>
    <t>CF 622</t>
  </si>
  <si>
    <t>ROTO MARTILLO DW 541/ 545- DEMOLEDOR DW 5439</t>
  </si>
  <si>
    <t>CON AVISO DE DESGASTE LUMINICO</t>
  </si>
  <si>
    <t>AMOL. 7"- LIJADORA CIRCULAR 7E / LG 180 CON AVISO DE DESGASTE</t>
  </si>
  <si>
    <t>CF 628</t>
  </si>
  <si>
    <t>DU 10- DUT 10/ 13- VTP 10/ 13- DUV 13- DMV 13- DVR 10/ 13- VTV 10/ 13 A</t>
  </si>
  <si>
    <t>CF 629</t>
  </si>
  <si>
    <t>DL 117</t>
  </si>
  <si>
    <t>CF 630</t>
  </si>
  <si>
    <t>SO 110-SOD 110- VTP 19-VRT 22/ 22 A- DMT 13- VRV 16</t>
  </si>
  <si>
    <t>CF 631</t>
  </si>
  <si>
    <t>LUK- RN/ NUK- RN</t>
  </si>
  <si>
    <t>CF 632</t>
  </si>
  <si>
    <t>C 16- LA 12</t>
  </si>
  <si>
    <t>CF 634</t>
  </si>
  <si>
    <t>(CB 51)AMOL.ANG9514BH-TAL.6300/6016/8419/8422-LIJADORA BANDA9404-CEPILLO1900B</t>
  </si>
  <si>
    <t>(CB419)TALADRO HP1500/10/DA3010/DP4011/HP1210/30-1620 TAL.ROTOP. HR 2440/2450</t>
  </si>
  <si>
    <t>(CB411)AMOL.4 1/2"9521/9524/9527/6500- LIJ.BA. 99H/9031/9032/9910/9911-CEPI. MKP080/082</t>
  </si>
  <si>
    <t>CF 636</t>
  </si>
  <si>
    <t>088- CALADORA ST 450</t>
  </si>
  <si>
    <t>CF 637</t>
  </si>
  <si>
    <t>149/ 164- LIJ. TAL. BE 720/25 RX2/B800/25- AMOL MFE-5/SH EW125/BA ODS</t>
  </si>
  <si>
    <t>CF 638</t>
  </si>
  <si>
    <t>135- CEPILLO HO 882</t>
  </si>
  <si>
    <t>CF 639</t>
  </si>
  <si>
    <t>163- TALADROS T10/ B10/ T13/ SB 613/ SBE 13</t>
  </si>
  <si>
    <t>CF 640</t>
  </si>
  <si>
    <t>CF 642</t>
  </si>
  <si>
    <t>CF 643</t>
  </si>
  <si>
    <t>122/ 288- TALADROS TG 22 S - ETC.</t>
  </si>
  <si>
    <t>CF 644</t>
  </si>
  <si>
    <t>177- AMOL. 7" Y 9" MOD. 2280/ 1- 21230/ 23180- 2018 Y 2030 2000W</t>
  </si>
  <si>
    <t>CF 645</t>
  </si>
  <si>
    <t>LIJADORA DE BANDA 600 W</t>
  </si>
  <si>
    <t>CF 648</t>
  </si>
  <si>
    <t>AMOLADORA 4 1/2 9002AR</t>
  </si>
  <si>
    <t>AMOLADORA 4 1/2" 9230</t>
  </si>
  <si>
    <t>AMOLADORA 9" 9980</t>
  </si>
  <si>
    <t>TALADRO ROTOPERCUTOR 1759 650W</t>
  </si>
  <si>
    <t>AMOLADORA 4 1/2" 9002</t>
  </si>
  <si>
    <t>AMOLADORA 7" MOD 9651/9652- 80 1800W</t>
  </si>
  <si>
    <t>TALADRO 13MM MOD 6438</t>
  </si>
  <si>
    <t>CF 655</t>
  </si>
  <si>
    <t>AMOLADORA ANGULAR 4 1/2" 115MM MOD 9003 720W</t>
  </si>
  <si>
    <t>TALADRO CON PERCUTOR 10MM 450W</t>
  </si>
  <si>
    <t>CF 657</t>
  </si>
  <si>
    <t>SIERRA CIRCULAR 7 1/4 MOD 5300</t>
  </si>
  <si>
    <t>CF 658</t>
  </si>
  <si>
    <t>AMOLADORA ANGULAR 4 1/2" 115MM MOD 9004</t>
  </si>
  <si>
    <t>CF 659</t>
  </si>
  <si>
    <t>AMOLADORA ANGULAR 4 1/2" 115MM MOD 9006</t>
  </si>
  <si>
    <t>CF 660</t>
  </si>
  <si>
    <t>SIERRAS MOD. 5150/ 5250</t>
  </si>
  <si>
    <t>CF 661</t>
  </si>
  <si>
    <t>AMOLADORA 4 1/2" MOD. 9410</t>
  </si>
  <si>
    <t>CF 662</t>
  </si>
  <si>
    <t>CF 663</t>
  </si>
  <si>
    <t>LUSTRALIJADORA WP 1300 DISCO 7"</t>
  </si>
  <si>
    <t>CF 664</t>
  </si>
  <si>
    <t>KG 915</t>
  </si>
  <si>
    <t>AMOLADORA ANGULAR R DE 4 1/2 "</t>
  </si>
  <si>
    <t>CF 667</t>
  </si>
  <si>
    <t>AMOLADORA NUEVO MODELO</t>
  </si>
  <si>
    <t>CF 668</t>
  </si>
  <si>
    <t>MARTILLO BOSCH 5 KILOS CON AVISO LUMINICO / DESGASTE</t>
  </si>
  <si>
    <t>DOWEN PAGGIO 12 V</t>
  </si>
  <si>
    <t>CF 669</t>
  </si>
  <si>
    <t>CF 670</t>
  </si>
  <si>
    <t>AMOLADORA ANGULAR DE 4 1/2 " G 1000</t>
  </si>
  <si>
    <t>AMOLADORA ANGULAR DE 4 1/2 " G 900</t>
  </si>
  <si>
    <t>CF 672</t>
  </si>
  <si>
    <t>LUSTRALIJADORA WP 1500</t>
  </si>
  <si>
    <t>CF 673</t>
  </si>
  <si>
    <t>ROTOMARTILLO KD 1001</t>
  </si>
  <si>
    <t>AMOLADORA G 720 MOD. NUEVO</t>
  </si>
  <si>
    <t>CF 675</t>
  </si>
  <si>
    <t>MARTILLO KD 1250</t>
  </si>
  <si>
    <t>GAMMA</t>
  </si>
  <si>
    <t>AMOLADORAS 41/2 ¨</t>
  </si>
  <si>
    <t>AMOLADORA 4 1/2¨</t>
  </si>
  <si>
    <t>AMOLADORA 7¨Y 9¨</t>
  </si>
  <si>
    <t>CF 704</t>
  </si>
  <si>
    <t>TALADROS</t>
  </si>
  <si>
    <t>CEPILLO ELECTRICO ART HG006</t>
  </si>
  <si>
    <t>CF 706</t>
  </si>
  <si>
    <t>TALADRO ELECTRICO CON PERCUTOR 13MM ART HG002</t>
  </si>
  <si>
    <t>CF 707</t>
  </si>
  <si>
    <t>LIJADORA DE BANDA ART HG009 950W</t>
  </si>
  <si>
    <t>CF 708</t>
  </si>
  <si>
    <t>AMOLADORA ANGULAR 7" ART HG004</t>
  </si>
  <si>
    <t>CF 709</t>
  </si>
  <si>
    <t>CORTADORA SENSITIVA 14" ART HG010</t>
  </si>
  <si>
    <t>CF 710</t>
  </si>
  <si>
    <t>LUSTRALIJADORA ART HG010</t>
  </si>
  <si>
    <t>MARTILLO HG 021</t>
  </si>
  <si>
    <t>AMOL.ANGULAR 115 MOD.G1910AR</t>
  </si>
  <si>
    <t>EINHELL</t>
  </si>
  <si>
    <t>AMOLADORA 4 1/2 TC AG115/750 WATT</t>
  </si>
  <si>
    <t>SIERRA DE BANCO TC-TS 2025</t>
  </si>
  <si>
    <t>CF 750</t>
  </si>
  <si>
    <t>AMOLADORA ANGULAR 115 MM MOD AA 115 H 710 W</t>
  </si>
  <si>
    <t>AMOLADORA ANGULAR 115 MM MOD AA 115 SP 900 W</t>
  </si>
  <si>
    <t>CF 752</t>
  </si>
  <si>
    <t>AMOL.180 MOD.AA SP/AA 230 SP 1800W</t>
  </si>
  <si>
    <t>AMOLADORA ANGULAR 230 MM MOD AA 230 P 2200 W</t>
  </si>
  <si>
    <t>CF 754</t>
  </si>
  <si>
    <t>LUSTRALIJADORA MOD LA 180 SSP 1300 W</t>
  </si>
  <si>
    <t>CF 755</t>
  </si>
  <si>
    <t>TALADRO PERCUTOR 10MM MOD TP101SP 900W</t>
  </si>
  <si>
    <t>CF 756</t>
  </si>
  <si>
    <t>TALADRO PERCUTOR 13MM MOD TP131P 1050W</t>
  </si>
  <si>
    <t>TALADRO 16MM ALTO TORQUE MOD TP161P 1050W</t>
  </si>
  <si>
    <t>CEPILLADORA MANUAL MOD CM822SP 1100W</t>
  </si>
  <si>
    <t>SIERRA CALADORA MOD SC80SP 580W DOBLE GUIA</t>
  </si>
  <si>
    <t>CF 760</t>
  </si>
  <si>
    <t>SIERRA CIRCULAR 190MM MOD SC190H 1300W</t>
  </si>
  <si>
    <t>CF 761</t>
  </si>
  <si>
    <t>SIERRA CIRCULAR 190MM MOD SC190SP 1500W</t>
  </si>
  <si>
    <t>CF 762</t>
  </si>
  <si>
    <t>REBAJADORA MANUAL MOD RM12P 1400W</t>
  </si>
  <si>
    <t>SIERRA SENSITIVA MOD SS350SP 2000W</t>
  </si>
  <si>
    <t>AMOLADORA ANGULAR 115 MM MOD AA 15H</t>
  </si>
  <si>
    <t>CF 765</t>
  </si>
  <si>
    <t>AMOLADORA ANGULAR 115/125 MM AA 125 S9G</t>
  </si>
  <si>
    <t>CF 768</t>
  </si>
  <si>
    <t>AMOLADORA ANGULAR 230 MM AA 230P</t>
  </si>
  <si>
    <t>ROTOMARTILLO SDS PLUS RM 30 P</t>
  </si>
  <si>
    <t>BTA</t>
  </si>
  <si>
    <t>AMOLADORA 4 1/2" VARIOS MODELOS</t>
  </si>
  <si>
    <t>AMOLADORA  4 1/2¨ VARIOS MODELOS</t>
  </si>
  <si>
    <t>AMOLADORA DE 7¨Y 9¨</t>
  </si>
  <si>
    <t>TALADRO</t>
  </si>
  <si>
    <t>CF 880</t>
  </si>
  <si>
    <t>NEO</t>
  </si>
  <si>
    <t>AMOLADORA 7 Y 9" MOD AA 919- AA927 900W</t>
  </si>
  <si>
    <t>TALADRO 13MM PERCUTOR MOD TP813 1050W</t>
  </si>
  <si>
    <t>CF 882</t>
  </si>
  <si>
    <t>AMOLADORA 4 1/2" MOD AA915 900W</t>
  </si>
  <si>
    <t>CF 883</t>
  </si>
  <si>
    <t>ROTOMARTILLO 3 FUNCIONES MOD RM821 650W</t>
  </si>
  <si>
    <t>CF 884</t>
  </si>
  <si>
    <t>MARTILLO DEMOLEDOR RM 825</t>
  </si>
  <si>
    <t>MARTILLO ELECTRONEUMATICO MOD RM 708 850W</t>
  </si>
  <si>
    <t>AMOLADORA 4 1/2" AA915/1015</t>
  </si>
  <si>
    <t>AMOLADORA 7" AA928 (CON AVISO DE DESGASTE)</t>
  </si>
  <si>
    <t>LIJADORA DE BANDA LB 721</t>
  </si>
  <si>
    <t>LIJADORA ORBITAL L0712</t>
  </si>
  <si>
    <t>EXPERTO</t>
  </si>
  <si>
    <t>AMOLADORA 4 1/2" 1100W</t>
  </si>
  <si>
    <t>AMOL.4 1/2 MOD 1394-1375 -GWS 7-115 (CON AVISO)</t>
  </si>
  <si>
    <t>GLADIATOR</t>
  </si>
  <si>
    <t>AMOLADORA ANGULAR MOD AA215 640W</t>
  </si>
  <si>
    <t>CF 951</t>
  </si>
  <si>
    <t>CF 952</t>
  </si>
  <si>
    <t>TALADRO PERCUTOR 13MM MOD TP513 800W</t>
  </si>
  <si>
    <t>CF 953</t>
  </si>
  <si>
    <t>AMOL. ANGULAR MOD AA518 180MM 2200W/ AA523 230MM 2200W</t>
  </si>
  <si>
    <t>SIERRA CIRCULAR 7 1/4" MOD 307 1200W</t>
  </si>
  <si>
    <t>CF 955</t>
  </si>
  <si>
    <t>MILWAUKEE</t>
  </si>
  <si>
    <t>AMOLADORA 4 1/2"</t>
  </si>
  <si>
    <t>CF 971</t>
  </si>
  <si>
    <t>AMOLADORA 7" Y 9"</t>
  </si>
  <si>
    <t>AEG</t>
  </si>
  <si>
    <t>AMOLADORA 4 1/2</t>
  </si>
  <si>
    <t>CF601</t>
  </si>
  <si>
    <t>AMOLADORAS DE 7" - LIJADORAS Y PULIDORAS</t>
  </si>
  <si>
    <t>CE 001</t>
  </si>
  <si>
    <t>ASPIRADORA</t>
  </si>
  <si>
    <t>TURBION</t>
  </si>
  <si>
    <t>CE 002</t>
  </si>
  <si>
    <t>INDUSTRIAL ULTRACOMB</t>
  </si>
  <si>
    <t>CE 003</t>
  </si>
  <si>
    <t>INDUSTRIAL DISPROMAC - TURBION</t>
  </si>
  <si>
    <t>CE 004</t>
  </si>
  <si>
    <t>INDUSTRIALES VARIAS</t>
  </si>
  <si>
    <t>CE 005</t>
  </si>
  <si>
    <t>YELMO JET</t>
  </si>
  <si>
    <t>CE 006</t>
  </si>
  <si>
    <t>INDUSTRIAL DIXTEL</t>
  </si>
  <si>
    <t>CE 007</t>
  </si>
  <si>
    <t>INDUSTRIAL ALOÑA</t>
  </si>
  <si>
    <t>CE 008</t>
  </si>
  <si>
    <t>AGRO</t>
  </si>
  <si>
    <t>MAQUINA PARA COSER BOLSAS DE COSECHADORA</t>
  </si>
  <si>
    <t>CE 021</t>
  </si>
  <si>
    <t>ENCERADORA</t>
  </si>
  <si>
    <t>YELMO-EXTRACHATAS-ULTRACOMB-VARIAS</t>
  </si>
  <si>
    <t>CE 022</t>
  </si>
  <si>
    <t>YELMO-ULTRACOMB-ELECTROLUX</t>
  </si>
  <si>
    <t>CE 023</t>
  </si>
  <si>
    <t>YELMO INTERNACIONAL</t>
  </si>
  <si>
    <t>CE 024</t>
  </si>
  <si>
    <t>O</t>
  </si>
  <si>
    <t>VARIAS</t>
  </si>
  <si>
    <t>BORDEADORA</t>
  </si>
  <si>
    <t>BORDEADORA DE CESPED</t>
  </si>
  <si>
    <t>CE 045</t>
  </si>
  <si>
    <t>CE 307</t>
  </si>
  <si>
    <t>HIDROLAVADORA</t>
  </si>
  <si>
    <t>HIDRO. GAMA G2513/2514 HIDRO B&amp;D</t>
  </si>
  <si>
    <t>CE 308</t>
  </si>
  <si>
    <t>HIDROLAVADORA CHICA</t>
  </si>
  <si>
    <t>CE 309</t>
  </si>
  <si>
    <t>CE 061</t>
  </si>
  <si>
    <t>BATIDORA</t>
  </si>
  <si>
    <t>YELMO</t>
  </si>
  <si>
    <t>CE 062</t>
  </si>
  <si>
    <t>KENWOOD</t>
  </si>
  <si>
    <t>CE 063</t>
  </si>
  <si>
    <t>VARIETT-ULTRACOMB</t>
  </si>
  <si>
    <t>CE 064</t>
  </si>
  <si>
    <t>MANUAL YELMO</t>
  </si>
  <si>
    <t>CE 065</t>
  </si>
  <si>
    <t>PHILIPS</t>
  </si>
  <si>
    <t>CE 066</t>
  </si>
  <si>
    <t>C/ CUCHILLO BRAUN</t>
  </si>
  <si>
    <t>CE 067</t>
  </si>
  <si>
    <t>MANUAL WEMIR</t>
  </si>
  <si>
    <t>CE 068</t>
  </si>
  <si>
    <t>WEMIR</t>
  </si>
  <si>
    <t>CE 069</t>
  </si>
  <si>
    <t>MANUAL ULTRACOMB</t>
  </si>
  <si>
    <t>CE 081</t>
  </si>
  <si>
    <t>BARRE ALFOMBRAS</t>
  </si>
  <si>
    <t>BARRE ALFOMBRA R.S</t>
  </si>
  <si>
    <t>CE 082</t>
  </si>
  <si>
    <t>CE 101</t>
  </si>
  <si>
    <t>PICADORA</t>
  </si>
  <si>
    <t>MOULINEX (CON RANURA)</t>
  </si>
  <si>
    <t>CE 121</t>
  </si>
  <si>
    <t>CUCHILLO</t>
  </si>
  <si>
    <t>ELECTRICO ULTRACOMB</t>
  </si>
  <si>
    <t>CE 141</t>
  </si>
  <si>
    <t>AFEITADORA</t>
  </si>
  <si>
    <t>CE 142</t>
  </si>
  <si>
    <t>SUMBEAN</t>
  </si>
  <si>
    <t>CE 161</t>
  </si>
  <si>
    <t>VAPORIZADOR</t>
  </si>
  <si>
    <t>AURORA</t>
  </si>
  <si>
    <t>CE 162</t>
  </si>
  <si>
    <t>CE 181</t>
  </si>
  <si>
    <t>LAZO ASINCRON</t>
  </si>
  <si>
    <t>LAZO COMUN (SIERRA CARNICERO)</t>
  </si>
  <si>
    <t>CE 182</t>
  </si>
  <si>
    <t>3 a 6</t>
  </si>
  <si>
    <t>LAZO ASINCRON HACHITA</t>
  </si>
  <si>
    <t>CE 183</t>
  </si>
  <si>
    <t>4 a 8</t>
  </si>
  <si>
    <t>LAZO ASINCRON LECHUZA</t>
  </si>
  <si>
    <t>CE 201</t>
  </si>
  <si>
    <t>SECADOR</t>
  </si>
  <si>
    <t>JUMBO</t>
  </si>
  <si>
    <t>CE 221</t>
  </si>
  <si>
    <t>MAQUINA DE COSER</t>
  </si>
  <si>
    <t>SINGER FAMILIAR</t>
  </si>
  <si>
    <t>CE 222</t>
  </si>
  <si>
    <t>CON MOTOR MOTORMECH</t>
  </si>
  <si>
    <t>NECCHI</t>
  </si>
  <si>
    <t>CE 224</t>
  </si>
  <si>
    <t>CON MOTOR M.A.G. (NUEVA)</t>
  </si>
  <si>
    <t>VARIOS</t>
  </si>
  <si>
    <t>CE 227</t>
  </si>
  <si>
    <t>MAQUINA DE COSER - M.A.G.</t>
  </si>
  <si>
    <t>CE 228</t>
  </si>
  <si>
    <t>INDUSTRIAL SINGER</t>
  </si>
  <si>
    <t>CE 261</t>
  </si>
  <si>
    <t>VENTILADOR</t>
  </si>
  <si>
    <t>CE 262</t>
  </si>
  <si>
    <t>CE 263</t>
  </si>
  <si>
    <t>CE 264</t>
  </si>
  <si>
    <t>CE 281</t>
  </si>
  <si>
    <t>LUSTRA ASPIRADORA</t>
  </si>
  <si>
    <t>LICUADORA</t>
  </si>
  <si>
    <t>KENWOOD CHEFF</t>
  </si>
  <si>
    <t>CE 302</t>
  </si>
  <si>
    <t>LAVARROPAS</t>
  </si>
  <si>
    <t>WHIRLPOOL Y OTROS</t>
  </si>
  <si>
    <t>CE 303</t>
  </si>
  <si>
    <t>CE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</si>
</sst>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555555"/>
      <name val="Calibri"/>
      <family val="2"/>
    </font>
    <font>
      <b/>
      <sz val="13"/>
      <color rgb="FF1F3864"/>
      <name val="Calibri"/>
      <family val="2"/>
    </font>
    <font>
      <b/>
      <sz val="16"/>
      <color rgb="FF1F3864"/>
      <name val="Calibri"/>
      <family val="2"/>
    </font>
    <font>
      <i/>
      <sz val="10"/>
      <color rgb="FF999999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37562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4FB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8" fillId="6" borderId="0" xfId="0" applyFont="1" applyFill="1" applyAlignment="1">
      <alignment vertical="center"/>
    </xf>
    <xf numFmtId="0" fontId="6" fillId="5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7" topLeftCell="A8" activePane="bottomLeft" state="frozen"/>
      <selection pane="bottomLeft" activeCell="B5" sqref="B5"/>
    </sheetView>
  </sheetViews>
  <sheetFormatPr baseColWidth="10" defaultColWidth="8.88671875" defaultRowHeight="14.4" x14ac:dyDescent="0.3"/>
  <cols>
    <col min="1" max="1" width="20" customWidth="1"/>
    <col min="2" max="2" width="12" style="8" customWidth="1"/>
    <col min="3" max="5" width="10" style="8" customWidth="1"/>
    <col min="6" max="6" width="22" style="8" customWidth="1"/>
    <col min="7" max="7" width="52" style="8" customWidth="1"/>
    <col min="8" max="8" width="15" style="8" customWidth="1"/>
  </cols>
  <sheetData>
    <row r="1" spans="1:8" ht="45" customHeight="1" x14ac:dyDescent="0.3">
      <c r="A1" s="18" t="s">
        <v>0</v>
      </c>
      <c r="B1" s="14"/>
      <c r="C1" s="14"/>
      <c r="D1" s="14"/>
      <c r="E1" s="14"/>
      <c r="F1" s="14"/>
      <c r="G1" s="14"/>
      <c r="H1" s="14"/>
    </row>
    <row r="2" spans="1:8" ht="19.95" customHeight="1" x14ac:dyDescent="0.3">
      <c r="A2" s="15" t="s">
        <v>1</v>
      </c>
      <c r="B2" s="14"/>
      <c r="C2" s="14"/>
      <c r="D2" s="14"/>
      <c r="E2" s="14"/>
      <c r="F2" s="14"/>
      <c r="G2" s="14"/>
      <c r="H2" s="14"/>
    </row>
    <row r="3" spans="1:8" ht="10.050000000000001" customHeight="1" x14ac:dyDescent="0.3"/>
    <row r="4" spans="1:8" ht="40.049999999999997" customHeight="1" x14ac:dyDescent="0.3">
      <c r="A4" s="1" t="s">
        <v>2</v>
      </c>
      <c r="B4" s="2" t="s">
        <v>638</v>
      </c>
      <c r="C4" s="16" t="s">
        <v>3</v>
      </c>
      <c r="D4" s="17"/>
      <c r="E4" s="17"/>
      <c r="F4" s="17"/>
      <c r="G4" s="17"/>
      <c r="H4" s="17"/>
    </row>
    <row r="5" spans="1:8" ht="7.95" customHeight="1" x14ac:dyDescent="0.3"/>
    <row r="6" spans="1:8" ht="25.95" customHeight="1" x14ac:dyDescent="0.3">
      <c r="A6" s="13" t="str">
        <f>IF($B$4="","Escribe un codigo en la celda amarilla.",IF(IFERROR(VLOOKUP($B$4,'Lista de Precios'!$A:$A,1,0),"")="","CODIGO NO ENCONTRADO en la lista de precios.",IF(IFERROR(VLOOKUP($B$4,'Tabla Equiv'!$A:$A,1,0),"")="","Este codigo NO tiene equivalencias.","")))</f>
        <v>Este codigo NO tiene equivalencias.</v>
      </c>
      <c r="B6" s="14"/>
      <c r="C6" s="14"/>
      <c r="D6" s="14"/>
      <c r="E6" s="14"/>
      <c r="F6" s="14"/>
      <c r="G6" s="14"/>
      <c r="H6" s="14"/>
    </row>
    <row r="7" spans="1:8" ht="30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ht="19.95" customHeight="1" x14ac:dyDescent="0.3">
      <c r="A8" s="4" t="str">
        <f>IFERROR(VLOOKUP($B$4,'Tabla Equiv'!$A:$I,2,0),"")</f>
        <v/>
      </c>
      <c r="B8" s="6" t="str">
        <f>IF($A8="","",IFERROR(VLOOKUP($A8,'Lista de Precios'!$A:$H,2,0),""))</f>
        <v/>
      </c>
      <c r="C8" s="6" t="str">
        <f>IF($A8="","",IFERROR(VLOOKUP($A8,'Lista de Precios'!$A:$H,3,0),""))</f>
        <v/>
      </c>
      <c r="D8" s="6" t="str">
        <f>IF($A8="","",IFERROR(VLOOKUP($A8,'Lista de Precios'!$A:$H,4,0),""))</f>
        <v/>
      </c>
      <c r="E8" s="6" t="str">
        <f>IF($A8="","",IFERROR(VLOOKUP($A8,'Lista de Precios'!$A:$H,5,0),""))</f>
        <v/>
      </c>
      <c r="F8" s="6" t="str">
        <f>IF($A8="","",IFERROR(VLOOKUP($A8,'Lista de Precios'!$A:$H,6,0),""))</f>
        <v/>
      </c>
      <c r="G8" s="6" t="str">
        <f>IF($A8="","",IFERROR(VLOOKUP($A8,'Lista de Precios'!$A:$H,7,0),""))</f>
        <v/>
      </c>
      <c r="H8" s="6" t="str">
        <f>IF($A8="","",IFERROR(VLOOKUP($A8,'Lista de Precios'!$A:$H,8,0),""))</f>
        <v/>
      </c>
    </row>
    <row r="9" spans="1:8" ht="19.95" customHeight="1" x14ac:dyDescent="0.3">
      <c r="A9" s="5" t="str">
        <f>IFERROR(VLOOKUP($B$4,'Tabla Equiv'!$A:$I,3,0),"")</f>
        <v/>
      </c>
      <c r="B9" s="7" t="str">
        <f>IF($A9="","",IFERROR(VLOOKUP($A9,'Lista de Precios'!$A:$H,2,0),""))</f>
        <v/>
      </c>
      <c r="C9" s="7" t="str">
        <f>IF($A9="","",IFERROR(VLOOKUP($A9,'Lista de Precios'!$A:$H,3,0),""))</f>
        <v/>
      </c>
      <c r="D9" s="7" t="str">
        <f>IF($A9="","",IFERROR(VLOOKUP($A9,'Lista de Precios'!$A:$H,4,0),""))</f>
        <v/>
      </c>
      <c r="E9" s="7" t="str">
        <f>IF($A9="","",IFERROR(VLOOKUP($A9,'Lista de Precios'!$A:$H,5,0),""))</f>
        <v/>
      </c>
      <c r="F9" s="7" t="str">
        <f>IF($A9="","",IFERROR(VLOOKUP($A9,'Lista de Precios'!$A:$H,6,0),""))</f>
        <v/>
      </c>
      <c r="G9" s="7" t="str">
        <f>IF($A9="","",IFERROR(VLOOKUP($A9,'Lista de Precios'!$A:$H,7,0),""))</f>
        <v/>
      </c>
      <c r="H9" s="7" t="str">
        <f>IF($A9="","",IFERROR(VLOOKUP($A9,'Lista de Precios'!$A:$H,8,0),""))</f>
        <v/>
      </c>
    </row>
    <row r="10" spans="1:8" ht="19.95" customHeight="1" x14ac:dyDescent="0.3">
      <c r="A10" s="4" t="str">
        <f>IFERROR(VLOOKUP($B$4,'Tabla Equiv'!$A:$I,4,0),"")</f>
        <v/>
      </c>
      <c r="B10" s="6" t="str">
        <f>IF($A10="","",IFERROR(VLOOKUP($A10,'Lista de Precios'!$A:$H,2,0),""))</f>
        <v/>
      </c>
      <c r="C10" s="6" t="str">
        <f>IF($A10="","",IFERROR(VLOOKUP($A10,'Lista de Precios'!$A:$H,3,0),""))</f>
        <v/>
      </c>
      <c r="D10" s="6" t="str">
        <f>IF($A10="","",IFERROR(VLOOKUP($A10,'Lista de Precios'!$A:$H,4,0),""))</f>
        <v/>
      </c>
      <c r="E10" s="6" t="str">
        <f>IF($A10="","",IFERROR(VLOOKUP($A10,'Lista de Precios'!$A:$H,5,0),""))</f>
        <v/>
      </c>
      <c r="F10" s="6" t="str">
        <f>IF($A10="","",IFERROR(VLOOKUP($A10,'Lista de Precios'!$A:$H,6,0),""))</f>
        <v/>
      </c>
      <c r="G10" s="6" t="str">
        <f>IF($A10="","",IFERROR(VLOOKUP($A10,'Lista de Precios'!$A:$H,7,0),""))</f>
        <v/>
      </c>
      <c r="H10" s="6" t="str">
        <f>IF($A10="","",IFERROR(VLOOKUP($A10,'Lista de Precios'!$A:$H,8,0),""))</f>
        <v/>
      </c>
    </row>
    <row r="11" spans="1:8" ht="19.95" customHeight="1" x14ac:dyDescent="0.3">
      <c r="A11" s="5" t="str">
        <f>IFERROR(VLOOKUP($B$4,'Tabla Equiv'!$A:$I,5,0),"")</f>
        <v/>
      </c>
      <c r="B11" s="7" t="str">
        <f>IF($A11="","",IFERROR(VLOOKUP($A11,'Lista de Precios'!$A:$H,2,0),""))</f>
        <v/>
      </c>
      <c r="C11" s="7" t="str">
        <f>IF($A11="","",IFERROR(VLOOKUP($A11,'Lista de Precios'!$A:$H,3,0),""))</f>
        <v/>
      </c>
      <c r="D11" s="7" t="str">
        <f>IF($A11="","",IFERROR(VLOOKUP($A11,'Lista de Precios'!$A:$H,4,0),""))</f>
        <v/>
      </c>
      <c r="E11" s="7" t="str">
        <f>IF($A11="","",IFERROR(VLOOKUP($A11,'Lista de Precios'!$A:$H,5,0),""))</f>
        <v/>
      </c>
      <c r="F11" s="7" t="str">
        <f>IF($A11="","",IFERROR(VLOOKUP($A11,'Lista de Precios'!$A:$H,6,0),""))</f>
        <v/>
      </c>
      <c r="G11" s="7" t="str">
        <f>IF($A11="","",IFERROR(VLOOKUP($A11,'Lista de Precios'!$A:$H,7,0),""))</f>
        <v/>
      </c>
      <c r="H11" s="7" t="str">
        <f>IF($A11="","",IFERROR(VLOOKUP($A11,'Lista de Precios'!$A:$H,8,0),""))</f>
        <v/>
      </c>
    </row>
    <row r="12" spans="1:8" ht="19.95" customHeight="1" x14ac:dyDescent="0.3">
      <c r="A12" s="4" t="str">
        <f>IFERROR(VLOOKUP($B$4,'Tabla Equiv'!$A:$I,6,0),"")</f>
        <v/>
      </c>
      <c r="B12" s="6" t="str">
        <f>IF($A12="","",IFERROR(VLOOKUP($A12,'Lista de Precios'!$A:$H,2,0),""))</f>
        <v/>
      </c>
      <c r="C12" s="6" t="str">
        <f>IF($A12="","",IFERROR(VLOOKUP($A12,'Lista de Precios'!$A:$H,3,0),""))</f>
        <v/>
      </c>
      <c r="D12" s="6" t="str">
        <f>IF($A12="","",IFERROR(VLOOKUP($A12,'Lista de Precios'!$A:$H,4,0),""))</f>
        <v/>
      </c>
      <c r="E12" s="6" t="str">
        <f>IF($A12="","",IFERROR(VLOOKUP($A12,'Lista de Precios'!$A:$H,5,0),""))</f>
        <v/>
      </c>
      <c r="F12" s="6" t="str">
        <f>IF($A12="","",IFERROR(VLOOKUP($A12,'Lista de Precios'!$A:$H,6,0),""))</f>
        <v/>
      </c>
      <c r="G12" s="6" t="str">
        <f>IF($A12="","",IFERROR(VLOOKUP($A12,'Lista de Precios'!$A:$H,7,0),""))</f>
        <v/>
      </c>
      <c r="H12" s="6" t="str">
        <f>IF($A12="","",IFERROR(VLOOKUP($A12,'Lista de Precios'!$A:$H,8,0),""))</f>
        <v/>
      </c>
    </row>
    <row r="13" spans="1:8" ht="19.95" customHeight="1" x14ac:dyDescent="0.3">
      <c r="A13" s="5" t="str">
        <f>IFERROR(VLOOKUP($B$4,'Tabla Equiv'!$A:$I,7,0),"")</f>
        <v/>
      </c>
      <c r="B13" s="7" t="str">
        <f>IF($A13="","",IFERROR(VLOOKUP($A13,'Lista de Precios'!$A:$H,2,0),""))</f>
        <v/>
      </c>
      <c r="C13" s="7" t="str">
        <f>IF($A13="","",IFERROR(VLOOKUP($A13,'Lista de Precios'!$A:$H,3,0),""))</f>
        <v/>
      </c>
      <c r="D13" s="7" t="str">
        <f>IF($A13="","",IFERROR(VLOOKUP($A13,'Lista de Precios'!$A:$H,4,0),""))</f>
        <v/>
      </c>
      <c r="E13" s="7" t="str">
        <f>IF($A13="","",IFERROR(VLOOKUP($A13,'Lista de Precios'!$A:$H,5,0),""))</f>
        <v/>
      </c>
      <c r="F13" s="7" t="str">
        <f>IF($A13="","",IFERROR(VLOOKUP($A13,'Lista de Precios'!$A:$H,6,0),""))</f>
        <v/>
      </c>
      <c r="G13" s="7" t="str">
        <f>IF($A13="","",IFERROR(VLOOKUP($A13,'Lista de Precios'!$A:$H,7,0),""))</f>
        <v/>
      </c>
      <c r="H13" s="7" t="str">
        <f>IF($A13="","",IFERROR(VLOOKUP($A13,'Lista de Precios'!$A:$H,8,0),""))</f>
        <v/>
      </c>
    </row>
    <row r="14" spans="1:8" ht="19.95" customHeight="1" x14ac:dyDescent="0.3">
      <c r="A14" s="4" t="str">
        <f>IFERROR(VLOOKUP($B$4,'Tabla Equiv'!$A:$I,8,0),"")</f>
        <v/>
      </c>
      <c r="B14" s="6" t="str">
        <f>IF($A14="","",IFERROR(VLOOKUP($A14,'Lista de Precios'!$A:$H,2,0),""))</f>
        <v/>
      </c>
      <c r="C14" s="6" t="str">
        <f>IF($A14="","",IFERROR(VLOOKUP($A14,'Lista de Precios'!$A:$H,3,0),""))</f>
        <v/>
      </c>
      <c r="D14" s="6" t="str">
        <f>IF($A14="","",IFERROR(VLOOKUP($A14,'Lista de Precios'!$A:$H,4,0),""))</f>
        <v/>
      </c>
      <c r="E14" s="6" t="str">
        <f>IF($A14="","",IFERROR(VLOOKUP($A14,'Lista de Precios'!$A:$H,5,0),""))</f>
        <v/>
      </c>
      <c r="F14" s="6" t="str">
        <f>IF($A14="","",IFERROR(VLOOKUP($A14,'Lista de Precios'!$A:$H,6,0),""))</f>
        <v/>
      </c>
      <c r="G14" s="6" t="str">
        <f>IF($A14="","",IFERROR(VLOOKUP($A14,'Lista de Precios'!$A:$H,7,0),""))</f>
        <v/>
      </c>
      <c r="H14" s="6" t="str">
        <f>IF($A14="","",IFERROR(VLOOKUP($A14,'Lista de Precios'!$A:$H,8,0),""))</f>
        <v/>
      </c>
    </row>
    <row r="15" spans="1:8" ht="19.95" customHeight="1" x14ac:dyDescent="0.3">
      <c r="A15" s="5" t="str">
        <f>IFERROR(VLOOKUP($B$4,'Tabla Equiv'!$A:$I,9,0),"")</f>
        <v/>
      </c>
      <c r="B15" s="7" t="str">
        <f>IF($A15="","",IFERROR(VLOOKUP($A15,'Lista de Precios'!$A:$H,2,0),""))</f>
        <v/>
      </c>
      <c r="C15" s="7" t="str">
        <f>IF($A15="","",IFERROR(VLOOKUP($A15,'Lista de Precios'!$A:$H,3,0),""))</f>
        <v/>
      </c>
      <c r="D15" s="7" t="str">
        <f>IF($A15="","",IFERROR(VLOOKUP($A15,'Lista de Precios'!$A:$H,4,0),""))</f>
        <v/>
      </c>
      <c r="E15" s="7" t="str">
        <f>IF($A15="","",IFERROR(VLOOKUP($A15,'Lista de Precios'!$A:$H,5,0),""))</f>
        <v/>
      </c>
      <c r="F15" s="7" t="str">
        <f>IF($A15="","",IFERROR(VLOOKUP($A15,'Lista de Precios'!$A:$H,6,0),""))</f>
        <v/>
      </c>
      <c r="G15" s="7" t="str">
        <f>IF($A15="","",IFERROR(VLOOKUP($A15,'Lista de Precios'!$A:$H,7,0),""))</f>
        <v/>
      </c>
      <c r="H15" s="7" t="str">
        <f>IF($A15="","",IFERROR(VLOOKUP($A15,'Lista de Precios'!$A:$H,8,0),""))</f>
        <v/>
      </c>
    </row>
  </sheetData>
  <mergeCells count="4">
    <mergeCell ref="A6:H6"/>
    <mergeCell ref="A2:H2"/>
    <mergeCell ref="C4:H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"/>
  <sheetViews>
    <sheetView workbookViewId="0">
      <pane ySplit="1" topLeftCell="A2" activePane="bottomLeft" state="frozen"/>
      <selection pane="bottomLeft" activeCell="A2" sqref="A2:B8"/>
    </sheetView>
  </sheetViews>
  <sheetFormatPr baseColWidth="10" defaultColWidth="8.88671875" defaultRowHeight="14.4" x14ac:dyDescent="0.3"/>
  <cols>
    <col min="1" max="9" width="12" customWidth="1"/>
  </cols>
  <sheetData>
    <row r="1" spans="1:9" ht="28.05" customHeight="1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</row>
    <row r="2" spans="1:9" x14ac:dyDescent="0.3">
      <c r="A2" s="6" t="s">
        <v>21</v>
      </c>
      <c r="B2" s="6" t="s">
        <v>22</v>
      </c>
      <c r="C2" s="6"/>
      <c r="D2" s="6"/>
      <c r="E2" s="6"/>
      <c r="F2" s="6"/>
      <c r="G2" s="6"/>
      <c r="H2" s="6"/>
      <c r="I2" s="6"/>
    </row>
    <row r="3" spans="1:9" x14ac:dyDescent="0.3">
      <c r="A3" s="7" t="s">
        <v>23</v>
      </c>
      <c r="B3" s="7" t="s">
        <v>24</v>
      </c>
      <c r="C3" s="7"/>
      <c r="D3" s="7"/>
      <c r="E3" s="7"/>
      <c r="F3" s="7"/>
      <c r="G3" s="7"/>
      <c r="H3" s="7"/>
      <c r="I3" s="7"/>
    </row>
    <row r="4" spans="1:9" x14ac:dyDescent="0.3">
      <c r="A4" s="6" t="s">
        <v>25</v>
      </c>
      <c r="B4" s="6" t="s">
        <v>26</v>
      </c>
      <c r="C4" s="6"/>
      <c r="D4" s="6"/>
      <c r="E4" s="6"/>
      <c r="F4" s="6"/>
      <c r="G4" s="6"/>
      <c r="H4" s="6"/>
      <c r="I4" s="6"/>
    </row>
    <row r="5" spans="1:9" x14ac:dyDescent="0.3">
      <c r="A5" s="7" t="s">
        <v>27</v>
      </c>
      <c r="B5" s="7" t="s">
        <v>28</v>
      </c>
      <c r="C5" s="7"/>
      <c r="D5" s="7"/>
      <c r="E5" s="7"/>
      <c r="F5" s="7"/>
      <c r="G5" s="7"/>
      <c r="H5" s="7"/>
      <c r="I5" s="7"/>
    </row>
    <row r="6" spans="1:9" x14ac:dyDescent="0.3">
      <c r="A6" s="6" t="s">
        <v>28</v>
      </c>
      <c r="B6" s="6" t="s">
        <v>27</v>
      </c>
      <c r="C6" s="6"/>
      <c r="D6" s="6"/>
      <c r="E6" s="6"/>
      <c r="F6" s="6"/>
      <c r="G6" s="6"/>
      <c r="H6" s="6"/>
      <c r="I6" s="6"/>
    </row>
    <row r="7" spans="1:9" x14ac:dyDescent="0.3">
      <c r="A7" s="7" t="s">
        <v>22</v>
      </c>
      <c r="B7" s="7" t="s">
        <v>21</v>
      </c>
      <c r="C7" s="7"/>
      <c r="D7" s="7"/>
      <c r="E7" s="7"/>
      <c r="F7" s="7"/>
      <c r="G7" s="7"/>
      <c r="H7" s="7"/>
      <c r="I7" s="7"/>
    </row>
    <row r="8" spans="1:9" x14ac:dyDescent="0.3">
      <c r="A8" s="6" t="s">
        <v>29</v>
      </c>
      <c r="B8" s="6" t="s">
        <v>30</v>
      </c>
      <c r="C8" s="6"/>
      <c r="D8" s="6"/>
      <c r="E8" s="6"/>
      <c r="F8" s="6"/>
      <c r="G8" s="6"/>
      <c r="H8" s="6"/>
      <c r="I8" s="6"/>
    </row>
    <row r="9" spans="1:9" x14ac:dyDescent="0.3">
      <c r="A9" s="7" t="s">
        <v>31</v>
      </c>
      <c r="B9" s="7" t="s">
        <v>32</v>
      </c>
      <c r="C9" s="7" t="s">
        <v>33</v>
      </c>
      <c r="D9" s="7"/>
      <c r="E9" s="7"/>
      <c r="F9" s="7"/>
      <c r="G9" s="7"/>
      <c r="H9" s="7"/>
      <c r="I9" s="7"/>
    </row>
    <row r="10" spans="1:9" x14ac:dyDescent="0.3">
      <c r="A10" s="6" t="s">
        <v>34</v>
      </c>
      <c r="B10" s="6" t="s">
        <v>35</v>
      </c>
      <c r="C10" s="6"/>
      <c r="D10" s="6"/>
      <c r="E10" s="6"/>
      <c r="F10" s="6"/>
      <c r="G10" s="6"/>
      <c r="H10" s="6"/>
      <c r="I10" s="6"/>
    </row>
    <row r="11" spans="1:9" x14ac:dyDescent="0.3">
      <c r="A11" s="7" t="s">
        <v>36</v>
      </c>
      <c r="B11" s="7" t="s">
        <v>37</v>
      </c>
      <c r="C11" s="7"/>
      <c r="D11" s="7"/>
      <c r="E11" s="7"/>
      <c r="F11" s="7"/>
      <c r="G11" s="7"/>
      <c r="H11" s="7"/>
      <c r="I11" s="7"/>
    </row>
    <row r="12" spans="1:9" x14ac:dyDescent="0.3">
      <c r="A12" s="6" t="s">
        <v>38</v>
      </c>
      <c r="B12" s="6" t="s">
        <v>39</v>
      </c>
      <c r="C12" s="6"/>
      <c r="D12" s="6"/>
      <c r="E12" s="6"/>
      <c r="F12" s="6"/>
      <c r="G12" s="6"/>
      <c r="H12" s="6"/>
      <c r="I12" s="6"/>
    </row>
    <row r="13" spans="1:9" x14ac:dyDescent="0.3">
      <c r="A13" s="7" t="s">
        <v>40</v>
      </c>
      <c r="B13" s="7" t="s">
        <v>41</v>
      </c>
      <c r="C13" s="7" t="s">
        <v>42</v>
      </c>
      <c r="D13" s="7"/>
      <c r="E13" s="7"/>
      <c r="F13" s="7"/>
      <c r="G13" s="7"/>
      <c r="H13" s="7"/>
      <c r="I13" s="7"/>
    </row>
    <row r="14" spans="1:9" x14ac:dyDescent="0.3">
      <c r="A14" s="6" t="s">
        <v>43</v>
      </c>
      <c r="B14" s="6" t="s">
        <v>44</v>
      </c>
      <c r="C14" s="6"/>
      <c r="D14" s="6"/>
      <c r="E14" s="6"/>
      <c r="F14" s="6"/>
      <c r="G14" s="6"/>
      <c r="H14" s="6"/>
      <c r="I14" s="6"/>
    </row>
    <row r="15" spans="1:9" x14ac:dyDescent="0.3">
      <c r="A15" s="7" t="s">
        <v>45</v>
      </c>
      <c r="B15" s="7" t="s">
        <v>46</v>
      </c>
      <c r="C15" s="7" t="s">
        <v>47</v>
      </c>
      <c r="D15" s="7" t="s">
        <v>48</v>
      </c>
      <c r="E15" s="7"/>
      <c r="F15" s="7"/>
      <c r="G15" s="7"/>
      <c r="H15" s="7"/>
      <c r="I15" s="7"/>
    </row>
    <row r="16" spans="1:9" x14ac:dyDescent="0.3">
      <c r="A16" s="6" t="s">
        <v>24</v>
      </c>
      <c r="B16" s="6" t="s">
        <v>23</v>
      </c>
      <c r="C16" s="6"/>
      <c r="D16" s="6"/>
      <c r="E16" s="6"/>
      <c r="F16" s="6"/>
      <c r="G16" s="6"/>
      <c r="H16" s="6"/>
      <c r="I16" s="6"/>
    </row>
    <row r="17" spans="1:10" x14ac:dyDescent="0.3">
      <c r="A17" s="7" t="s">
        <v>26</v>
      </c>
      <c r="B17" s="7" t="s">
        <v>25</v>
      </c>
      <c r="C17" s="7"/>
      <c r="D17" s="7"/>
      <c r="E17" s="7"/>
      <c r="F17" s="7"/>
      <c r="G17" s="7"/>
      <c r="H17" s="7"/>
      <c r="I17" s="7"/>
    </row>
    <row r="18" spans="1:10" x14ac:dyDescent="0.3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</row>
    <row r="19" spans="1:10" x14ac:dyDescent="0.3">
      <c r="A19" s="7" t="s">
        <v>51</v>
      </c>
      <c r="B19" s="7" t="s">
        <v>52</v>
      </c>
      <c r="C19" s="7"/>
      <c r="D19" s="7"/>
      <c r="E19" s="7"/>
      <c r="F19" s="7"/>
      <c r="G19" s="7"/>
      <c r="H19" s="7"/>
      <c r="I19" s="7"/>
    </row>
    <row r="20" spans="1:10" x14ac:dyDescent="0.3">
      <c r="A20" s="6" t="s">
        <v>53</v>
      </c>
      <c r="B20" s="6" t="s">
        <v>54</v>
      </c>
      <c r="C20" s="6" t="s">
        <v>55</v>
      </c>
      <c r="D20" s="6" t="s">
        <v>56</v>
      </c>
      <c r="E20" s="6" t="s">
        <v>57</v>
      </c>
      <c r="F20" s="6" t="s">
        <v>58</v>
      </c>
      <c r="G20" s="6" t="s">
        <v>59</v>
      </c>
      <c r="H20" s="6" t="s">
        <v>60</v>
      </c>
      <c r="I20" s="6" t="s">
        <v>61</v>
      </c>
      <c r="J20" t="s">
        <v>62</v>
      </c>
    </row>
    <row r="21" spans="1:10" x14ac:dyDescent="0.3">
      <c r="A21" s="7" t="s">
        <v>63</v>
      </c>
      <c r="B21" s="7" t="s">
        <v>64</v>
      </c>
      <c r="C21" s="7"/>
      <c r="D21" s="7"/>
      <c r="E21" s="7"/>
      <c r="F21" s="7"/>
      <c r="G21" s="7"/>
      <c r="H21" s="7"/>
      <c r="I21" s="7"/>
    </row>
    <row r="22" spans="1:10" x14ac:dyDescent="0.3">
      <c r="A22" s="6" t="s">
        <v>65</v>
      </c>
      <c r="B22" s="6" t="s">
        <v>66</v>
      </c>
      <c r="C22" s="6"/>
      <c r="D22" s="6"/>
      <c r="E22" s="6"/>
      <c r="F22" s="6"/>
      <c r="G22" s="6"/>
      <c r="H22" s="6"/>
      <c r="I22" s="6"/>
    </row>
    <row r="23" spans="1:10" x14ac:dyDescent="0.3">
      <c r="A23" s="7" t="s">
        <v>64</v>
      </c>
      <c r="B23" s="7" t="s">
        <v>63</v>
      </c>
      <c r="C23" s="7"/>
      <c r="D23" s="7"/>
      <c r="E23" s="7"/>
      <c r="F23" s="7"/>
      <c r="G23" s="7"/>
      <c r="H23" s="7"/>
      <c r="I23" s="7"/>
    </row>
    <row r="24" spans="1:10" x14ac:dyDescent="0.3">
      <c r="A24" s="6" t="s">
        <v>67</v>
      </c>
      <c r="B24" s="6" t="s">
        <v>68</v>
      </c>
      <c r="C24" s="6"/>
      <c r="D24" s="6"/>
      <c r="E24" s="6"/>
      <c r="F24" s="6"/>
      <c r="G24" s="6"/>
      <c r="H24" s="6"/>
      <c r="I24" s="6"/>
    </row>
    <row r="25" spans="1:10" x14ac:dyDescent="0.3">
      <c r="A25" s="7" t="s">
        <v>69</v>
      </c>
      <c r="B25" s="7" t="s">
        <v>70</v>
      </c>
      <c r="C25" s="7"/>
      <c r="D25" s="7"/>
      <c r="E25" s="7"/>
      <c r="F25" s="7"/>
      <c r="G25" s="7"/>
      <c r="H25" s="7"/>
      <c r="I25" s="7"/>
    </row>
    <row r="26" spans="1:10" x14ac:dyDescent="0.3">
      <c r="A26" s="6" t="s">
        <v>71</v>
      </c>
      <c r="B26" s="6" t="s">
        <v>72</v>
      </c>
      <c r="C26" s="6"/>
      <c r="D26" s="6"/>
      <c r="E26" s="6"/>
      <c r="F26" s="6"/>
      <c r="G26" s="6"/>
      <c r="H26" s="6"/>
      <c r="I26" s="6"/>
    </row>
    <row r="27" spans="1:10" x14ac:dyDescent="0.3">
      <c r="A27" s="7" t="s">
        <v>73</v>
      </c>
      <c r="B27" s="7" t="s">
        <v>74</v>
      </c>
      <c r="C27" s="7"/>
      <c r="D27" s="7"/>
      <c r="E27" s="7"/>
      <c r="F27" s="7"/>
      <c r="G27" s="7"/>
      <c r="H27" s="7"/>
      <c r="I27" s="7"/>
    </row>
    <row r="28" spans="1:10" x14ac:dyDescent="0.3">
      <c r="A28" s="6" t="s">
        <v>75</v>
      </c>
      <c r="B28" s="6" t="s">
        <v>76</v>
      </c>
      <c r="C28" s="6"/>
      <c r="D28" s="6"/>
      <c r="E28" s="6"/>
      <c r="F28" s="6"/>
      <c r="G28" s="6"/>
      <c r="H28" s="6"/>
      <c r="I28" s="6"/>
    </row>
    <row r="29" spans="1:10" x14ac:dyDescent="0.3">
      <c r="A29" s="7" t="s">
        <v>54</v>
      </c>
      <c r="B29" s="7" t="s">
        <v>53</v>
      </c>
      <c r="C29" s="7" t="s">
        <v>55</v>
      </c>
      <c r="D29" s="7" t="s">
        <v>56</v>
      </c>
      <c r="E29" s="7" t="s">
        <v>57</v>
      </c>
      <c r="F29" s="7" t="s">
        <v>58</v>
      </c>
      <c r="G29" s="7" t="s">
        <v>59</v>
      </c>
      <c r="H29" s="7" t="s">
        <v>60</v>
      </c>
      <c r="I29" s="7" t="s">
        <v>61</v>
      </c>
      <c r="J29" t="s">
        <v>62</v>
      </c>
    </row>
    <row r="30" spans="1:10" x14ac:dyDescent="0.3">
      <c r="A30" s="6" t="s">
        <v>77</v>
      </c>
      <c r="B30" s="6" t="s">
        <v>78</v>
      </c>
      <c r="C30" s="6" t="s">
        <v>79</v>
      </c>
      <c r="D30" s="6" t="s">
        <v>80</v>
      </c>
      <c r="E30" s="6"/>
      <c r="F30" s="6"/>
      <c r="G30" s="6"/>
      <c r="H30" s="6"/>
      <c r="I30" s="6"/>
    </row>
    <row r="31" spans="1:10" x14ac:dyDescent="0.3">
      <c r="A31" s="7" t="s">
        <v>81</v>
      </c>
      <c r="B31" s="7" t="s">
        <v>82</v>
      </c>
      <c r="C31" s="7"/>
      <c r="D31" s="7"/>
      <c r="E31" s="7"/>
      <c r="F31" s="7"/>
      <c r="G31" s="7"/>
      <c r="H31" s="7"/>
      <c r="I31" s="7"/>
    </row>
    <row r="32" spans="1:10" x14ac:dyDescent="0.3">
      <c r="A32" s="6" t="s">
        <v>83</v>
      </c>
      <c r="B32" s="6" t="s">
        <v>84</v>
      </c>
      <c r="C32" s="6" t="s">
        <v>85</v>
      </c>
      <c r="D32" s="6"/>
      <c r="E32" s="6"/>
      <c r="F32" s="6"/>
      <c r="G32" s="6"/>
      <c r="H32" s="6"/>
      <c r="I32" s="6"/>
    </row>
    <row r="33" spans="1:9" x14ac:dyDescent="0.3">
      <c r="A33" s="7" t="s">
        <v>86</v>
      </c>
      <c r="B33" s="7" t="s">
        <v>87</v>
      </c>
      <c r="C33" s="7" t="s">
        <v>88</v>
      </c>
      <c r="D33" s="7" t="s">
        <v>89</v>
      </c>
      <c r="E33" s="7"/>
      <c r="F33" s="7"/>
      <c r="G33" s="7"/>
      <c r="H33" s="7"/>
      <c r="I33" s="7"/>
    </row>
    <row r="34" spans="1:9" x14ac:dyDescent="0.3">
      <c r="A34" s="6" t="s">
        <v>87</v>
      </c>
      <c r="B34" s="6" t="s">
        <v>86</v>
      </c>
      <c r="C34" s="6" t="s">
        <v>88</v>
      </c>
      <c r="D34" s="6" t="s">
        <v>89</v>
      </c>
      <c r="E34" s="6"/>
      <c r="F34" s="6"/>
      <c r="G34" s="6"/>
      <c r="H34" s="6"/>
      <c r="I34" s="6"/>
    </row>
    <row r="35" spans="1:9" x14ac:dyDescent="0.3">
      <c r="A35" s="7" t="s">
        <v>90</v>
      </c>
      <c r="B35" s="7" t="s">
        <v>91</v>
      </c>
      <c r="C35" s="7" t="s">
        <v>92</v>
      </c>
      <c r="D35" s="7"/>
      <c r="E35" s="7"/>
      <c r="F35" s="7"/>
      <c r="G35" s="7"/>
      <c r="H35" s="7"/>
      <c r="I35" s="7"/>
    </row>
    <row r="36" spans="1:9" x14ac:dyDescent="0.3">
      <c r="A36" s="6" t="s">
        <v>88</v>
      </c>
      <c r="B36" s="6" t="s">
        <v>86</v>
      </c>
      <c r="C36" s="6" t="s">
        <v>87</v>
      </c>
      <c r="D36" s="6" t="s">
        <v>89</v>
      </c>
      <c r="E36" s="6"/>
      <c r="F36" s="6"/>
      <c r="G36" s="6"/>
      <c r="H36" s="6"/>
      <c r="I36" s="6"/>
    </row>
    <row r="37" spans="1:9" x14ac:dyDescent="0.3">
      <c r="A37" s="7" t="s">
        <v>93</v>
      </c>
      <c r="B37" s="7" t="s">
        <v>94</v>
      </c>
      <c r="C37" s="7" t="s">
        <v>95</v>
      </c>
      <c r="D37" s="7"/>
      <c r="E37" s="7"/>
      <c r="F37" s="7"/>
      <c r="G37" s="7"/>
      <c r="H37" s="7"/>
      <c r="I37" s="7"/>
    </row>
    <row r="38" spans="1:9" x14ac:dyDescent="0.3">
      <c r="A38" s="6" t="s">
        <v>39</v>
      </c>
      <c r="B38" s="6" t="s">
        <v>38</v>
      </c>
      <c r="C38" s="6"/>
      <c r="D38" s="6"/>
      <c r="E38" s="6"/>
      <c r="F38" s="6"/>
      <c r="G38" s="6"/>
      <c r="H38" s="6"/>
      <c r="I38" s="6"/>
    </row>
    <row r="39" spans="1:9" x14ac:dyDescent="0.3">
      <c r="A39" s="7" t="s">
        <v>96</v>
      </c>
      <c r="B39" s="7" t="s">
        <v>97</v>
      </c>
      <c r="C39" s="7"/>
      <c r="D39" s="7"/>
      <c r="E39" s="7"/>
      <c r="F39" s="7"/>
      <c r="G39" s="7"/>
      <c r="H39" s="7"/>
      <c r="I39" s="7"/>
    </row>
    <row r="40" spans="1:9" x14ac:dyDescent="0.3">
      <c r="A40" s="6" t="s">
        <v>98</v>
      </c>
      <c r="B40" s="6" t="s">
        <v>99</v>
      </c>
      <c r="C40" s="6"/>
      <c r="D40" s="6"/>
      <c r="E40" s="6"/>
      <c r="F40" s="6"/>
      <c r="G40" s="6"/>
      <c r="H40" s="6"/>
      <c r="I40" s="6"/>
    </row>
    <row r="41" spans="1:9" x14ac:dyDescent="0.3">
      <c r="A41" s="7" t="s">
        <v>100</v>
      </c>
      <c r="B41" s="7" t="s">
        <v>101</v>
      </c>
      <c r="C41" s="7" t="s">
        <v>102</v>
      </c>
      <c r="D41" s="7" t="s">
        <v>103</v>
      </c>
      <c r="E41" s="7"/>
      <c r="F41" s="7"/>
      <c r="G41" s="7"/>
      <c r="H41" s="7"/>
      <c r="I41" s="7"/>
    </row>
    <row r="42" spans="1:9" x14ac:dyDescent="0.3">
      <c r="A42" s="6" t="s">
        <v>101</v>
      </c>
      <c r="B42" s="6" t="s">
        <v>100</v>
      </c>
      <c r="C42" s="6" t="s">
        <v>102</v>
      </c>
      <c r="D42" s="6" t="s">
        <v>103</v>
      </c>
      <c r="E42" s="6"/>
      <c r="F42" s="6"/>
      <c r="G42" s="6"/>
      <c r="H42" s="6"/>
      <c r="I42" s="6"/>
    </row>
    <row r="43" spans="1:9" x14ac:dyDescent="0.3">
      <c r="A43" s="7" t="s">
        <v>104</v>
      </c>
      <c r="B43" s="7" t="s">
        <v>105</v>
      </c>
      <c r="C43" s="7"/>
      <c r="D43" s="7"/>
      <c r="E43" s="7"/>
      <c r="F43" s="7"/>
      <c r="G43" s="7"/>
      <c r="H43" s="7"/>
      <c r="I43" s="7"/>
    </row>
    <row r="44" spans="1:9" x14ac:dyDescent="0.3">
      <c r="A44" s="6" t="s">
        <v>82</v>
      </c>
      <c r="B44" s="6" t="s">
        <v>81</v>
      </c>
      <c r="C44" s="6"/>
      <c r="D44" s="6"/>
      <c r="E44" s="6"/>
      <c r="F44" s="6"/>
      <c r="G44" s="6"/>
      <c r="H44" s="6"/>
      <c r="I44" s="6"/>
    </row>
    <row r="45" spans="1:9" x14ac:dyDescent="0.3">
      <c r="A45" s="7" t="s">
        <v>35</v>
      </c>
      <c r="B45" s="7" t="s">
        <v>34</v>
      </c>
      <c r="C45" s="7"/>
      <c r="D45" s="7"/>
      <c r="E45" s="7"/>
      <c r="F45" s="7"/>
      <c r="G45" s="7"/>
      <c r="H45" s="7"/>
      <c r="I45" s="7"/>
    </row>
    <row r="46" spans="1:9" x14ac:dyDescent="0.3">
      <c r="A46" s="6" t="s">
        <v>91</v>
      </c>
      <c r="B46" s="6" t="s">
        <v>90</v>
      </c>
      <c r="C46" s="6" t="s">
        <v>92</v>
      </c>
      <c r="D46" s="6"/>
      <c r="E46" s="6"/>
      <c r="F46" s="6"/>
      <c r="G46" s="6"/>
      <c r="H46" s="6"/>
      <c r="I46" s="6"/>
    </row>
    <row r="47" spans="1:9" x14ac:dyDescent="0.3">
      <c r="A47" s="7" t="s">
        <v>30</v>
      </c>
      <c r="B47" s="7" t="s">
        <v>29</v>
      </c>
      <c r="C47" s="7"/>
      <c r="D47" s="7"/>
      <c r="E47" s="7"/>
      <c r="F47" s="7"/>
      <c r="G47" s="7"/>
      <c r="H47" s="7"/>
      <c r="I47" s="7"/>
    </row>
    <row r="48" spans="1:9" x14ac:dyDescent="0.3">
      <c r="A48" s="6" t="s">
        <v>32</v>
      </c>
      <c r="B48" s="6" t="s">
        <v>31</v>
      </c>
      <c r="C48" s="6" t="s">
        <v>33</v>
      </c>
      <c r="D48" s="6"/>
      <c r="E48" s="6"/>
      <c r="F48" s="6"/>
      <c r="G48" s="6"/>
      <c r="H48" s="6"/>
      <c r="I48" s="6"/>
    </row>
    <row r="49" spans="1:9" x14ac:dyDescent="0.3">
      <c r="A49" s="7" t="s">
        <v>33</v>
      </c>
      <c r="B49" s="7" t="s">
        <v>31</v>
      </c>
      <c r="C49" s="7" t="s">
        <v>32</v>
      </c>
      <c r="D49" s="7"/>
      <c r="E49" s="7"/>
      <c r="F49" s="7"/>
      <c r="G49" s="7"/>
      <c r="H49" s="7"/>
      <c r="I49" s="7"/>
    </row>
    <row r="50" spans="1:9" x14ac:dyDescent="0.3">
      <c r="A50" s="6" t="s">
        <v>106</v>
      </c>
      <c r="B50" s="6" t="s">
        <v>107</v>
      </c>
      <c r="C50" s="6"/>
      <c r="D50" s="6"/>
      <c r="E50" s="6"/>
      <c r="F50" s="6"/>
      <c r="G50" s="6"/>
      <c r="H50" s="6"/>
      <c r="I50" s="6"/>
    </row>
    <row r="51" spans="1:9" x14ac:dyDescent="0.3">
      <c r="A51" s="7" t="s">
        <v>41</v>
      </c>
      <c r="B51" s="7" t="s">
        <v>40</v>
      </c>
      <c r="C51" s="7" t="s">
        <v>42</v>
      </c>
      <c r="D51" s="7"/>
      <c r="E51" s="7"/>
      <c r="F51" s="7"/>
      <c r="G51" s="7"/>
      <c r="H51" s="7"/>
      <c r="I51" s="7"/>
    </row>
    <row r="52" spans="1:9" x14ac:dyDescent="0.3">
      <c r="A52" s="6" t="s">
        <v>68</v>
      </c>
      <c r="B52" s="6" t="s">
        <v>67</v>
      </c>
      <c r="C52" s="6"/>
      <c r="D52" s="6"/>
      <c r="E52" s="6"/>
      <c r="F52" s="6"/>
      <c r="G52" s="6"/>
      <c r="H52" s="6"/>
      <c r="I52" s="6"/>
    </row>
    <row r="53" spans="1:9" x14ac:dyDescent="0.3">
      <c r="A53" s="7" t="s">
        <v>76</v>
      </c>
      <c r="B53" s="7" t="s">
        <v>75</v>
      </c>
      <c r="C53" s="7"/>
      <c r="D53" s="7"/>
      <c r="E53" s="7"/>
      <c r="F53" s="7"/>
      <c r="G53" s="7"/>
      <c r="H53" s="7"/>
      <c r="I53" s="7"/>
    </row>
    <row r="54" spans="1:9" x14ac:dyDescent="0.3">
      <c r="A54" s="6" t="s">
        <v>74</v>
      </c>
      <c r="B54" s="6" t="s">
        <v>73</v>
      </c>
      <c r="C54" s="6"/>
      <c r="D54" s="6"/>
      <c r="E54" s="6"/>
      <c r="F54" s="6"/>
      <c r="G54" s="6"/>
      <c r="H54" s="6"/>
      <c r="I54" s="6"/>
    </row>
    <row r="55" spans="1:9" x14ac:dyDescent="0.3">
      <c r="A55" s="7" t="s">
        <v>42</v>
      </c>
      <c r="B55" s="7" t="s">
        <v>40</v>
      </c>
      <c r="C55" s="7" t="s">
        <v>41</v>
      </c>
      <c r="D55" s="7"/>
      <c r="E55" s="7"/>
      <c r="F55" s="7"/>
      <c r="G55" s="7"/>
      <c r="H55" s="7"/>
      <c r="I55" s="7"/>
    </row>
    <row r="56" spans="1:9" x14ac:dyDescent="0.3">
      <c r="A56" s="6" t="s">
        <v>92</v>
      </c>
      <c r="B56" s="6" t="s">
        <v>90</v>
      </c>
      <c r="C56" s="6" t="s">
        <v>91</v>
      </c>
      <c r="D56" s="6"/>
      <c r="E56" s="6"/>
      <c r="F56" s="6"/>
      <c r="G56" s="6"/>
      <c r="H56" s="6"/>
      <c r="I56" s="6"/>
    </row>
    <row r="57" spans="1:9" x14ac:dyDescent="0.3">
      <c r="A57" s="7" t="s">
        <v>107</v>
      </c>
      <c r="B57" s="7" t="s">
        <v>106</v>
      </c>
      <c r="C57" s="7"/>
      <c r="D57" s="7"/>
      <c r="E57" s="7"/>
      <c r="F57" s="7"/>
      <c r="G57" s="7"/>
      <c r="H57" s="7"/>
      <c r="I57" s="7"/>
    </row>
    <row r="58" spans="1:9" x14ac:dyDescent="0.3">
      <c r="A58" s="6" t="s">
        <v>66</v>
      </c>
      <c r="B58" s="6" t="s">
        <v>65</v>
      </c>
      <c r="C58" s="6"/>
      <c r="D58" s="6"/>
      <c r="E58" s="6"/>
      <c r="F58" s="6"/>
      <c r="G58" s="6"/>
      <c r="H58" s="6"/>
      <c r="I58" s="6"/>
    </row>
    <row r="59" spans="1:9" x14ac:dyDescent="0.3">
      <c r="A59" s="7" t="s">
        <v>70</v>
      </c>
      <c r="B59" s="7" t="s">
        <v>69</v>
      </c>
      <c r="C59" s="7"/>
      <c r="D59" s="7"/>
      <c r="E59" s="7"/>
      <c r="F59" s="7"/>
      <c r="G59" s="7"/>
      <c r="H59" s="7"/>
      <c r="I59" s="7"/>
    </row>
    <row r="60" spans="1:9" x14ac:dyDescent="0.3">
      <c r="A60" s="6" t="s">
        <v>97</v>
      </c>
      <c r="B60" s="6" t="s">
        <v>108</v>
      </c>
      <c r="C60" s="6"/>
      <c r="D60" s="6"/>
      <c r="E60" s="6"/>
      <c r="F60" s="6"/>
      <c r="G60" s="6"/>
      <c r="H60" s="6"/>
      <c r="I60" s="6"/>
    </row>
    <row r="61" spans="1:9" x14ac:dyDescent="0.3">
      <c r="A61" s="7" t="s">
        <v>109</v>
      </c>
      <c r="B61" s="7" t="s">
        <v>110</v>
      </c>
      <c r="C61" s="7" t="s">
        <v>111</v>
      </c>
      <c r="D61" s="7"/>
      <c r="E61" s="7"/>
      <c r="F61" s="7"/>
      <c r="G61" s="7"/>
      <c r="H61" s="7"/>
      <c r="I61" s="7"/>
    </row>
    <row r="62" spans="1:9" x14ac:dyDescent="0.3">
      <c r="A62" s="6" t="s">
        <v>94</v>
      </c>
      <c r="B62" s="6" t="s">
        <v>93</v>
      </c>
      <c r="C62" s="6" t="s">
        <v>95</v>
      </c>
      <c r="D62" s="6"/>
      <c r="E62" s="6"/>
      <c r="F62" s="6"/>
      <c r="G62" s="6"/>
      <c r="H62" s="6"/>
      <c r="I62" s="6"/>
    </row>
    <row r="63" spans="1:9" x14ac:dyDescent="0.3">
      <c r="A63" s="7" t="s">
        <v>108</v>
      </c>
      <c r="B63" s="7" t="s">
        <v>97</v>
      </c>
      <c r="C63" s="7"/>
      <c r="D63" s="7"/>
      <c r="E63" s="7"/>
      <c r="F63" s="7"/>
      <c r="G63" s="7"/>
      <c r="H63" s="7"/>
      <c r="I63" s="7"/>
    </row>
    <row r="64" spans="1:9" x14ac:dyDescent="0.3">
      <c r="A64" s="6" t="s">
        <v>112</v>
      </c>
      <c r="B64" s="6" t="s">
        <v>113</v>
      </c>
      <c r="C64" s="6"/>
      <c r="D64" s="6"/>
      <c r="E64" s="6"/>
      <c r="F64" s="6"/>
      <c r="G64" s="6"/>
      <c r="H64" s="6"/>
      <c r="I64" s="6"/>
    </row>
    <row r="65" spans="1:10" x14ac:dyDescent="0.3">
      <c r="A65" s="7" t="s">
        <v>114</v>
      </c>
      <c r="B65" s="7" t="s">
        <v>115</v>
      </c>
      <c r="C65" s="7"/>
      <c r="D65" s="7"/>
      <c r="E65" s="7"/>
      <c r="F65" s="7"/>
      <c r="G65" s="7"/>
      <c r="H65" s="7"/>
      <c r="I65" s="7"/>
    </row>
    <row r="66" spans="1:10" x14ac:dyDescent="0.3">
      <c r="A66" s="6" t="s">
        <v>78</v>
      </c>
      <c r="B66" s="6" t="s">
        <v>77</v>
      </c>
      <c r="C66" s="6" t="s">
        <v>79</v>
      </c>
      <c r="D66" s="6" t="s">
        <v>80</v>
      </c>
      <c r="E66" s="6"/>
      <c r="F66" s="6"/>
      <c r="G66" s="6"/>
      <c r="H66" s="6"/>
      <c r="I66" s="6"/>
    </row>
    <row r="67" spans="1:10" x14ac:dyDescent="0.3">
      <c r="A67" s="7" t="s">
        <v>44</v>
      </c>
      <c r="B67" s="7" t="s">
        <v>43</v>
      </c>
      <c r="C67" s="7"/>
      <c r="D67" s="7"/>
      <c r="E67" s="7"/>
      <c r="F67" s="7"/>
      <c r="G67" s="7"/>
      <c r="H67" s="7"/>
      <c r="I67" s="7"/>
    </row>
    <row r="68" spans="1:10" x14ac:dyDescent="0.3">
      <c r="A68" s="6" t="s">
        <v>55</v>
      </c>
      <c r="B68" s="6" t="s">
        <v>53</v>
      </c>
      <c r="C68" s="6" t="s">
        <v>54</v>
      </c>
      <c r="D68" s="6" t="s">
        <v>56</v>
      </c>
      <c r="E68" s="6" t="s">
        <v>57</v>
      </c>
      <c r="F68" s="6" t="s">
        <v>58</v>
      </c>
      <c r="G68" s="6" t="s">
        <v>59</v>
      </c>
      <c r="H68" s="6" t="s">
        <v>60</v>
      </c>
      <c r="I68" s="6" t="s">
        <v>61</v>
      </c>
      <c r="J68" t="s">
        <v>62</v>
      </c>
    </row>
    <row r="69" spans="1:10" x14ac:dyDescent="0.3">
      <c r="A69" s="7" t="s">
        <v>116</v>
      </c>
      <c r="B69" s="7" t="s">
        <v>117</v>
      </c>
      <c r="C69" s="7" t="s">
        <v>118</v>
      </c>
      <c r="D69" s="7" t="s">
        <v>119</v>
      </c>
      <c r="E69" s="7"/>
      <c r="F69" s="7"/>
      <c r="G69" s="7"/>
      <c r="H69" s="7"/>
      <c r="I69" s="7"/>
    </row>
    <row r="70" spans="1:10" x14ac:dyDescent="0.3">
      <c r="A70" s="6" t="s">
        <v>37</v>
      </c>
      <c r="B70" s="6" t="s">
        <v>36</v>
      </c>
      <c r="C70" s="6"/>
      <c r="D70" s="6"/>
      <c r="E70" s="6"/>
      <c r="F70" s="6"/>
      <c r="G70" s="6"/>
      <c r="H70" s="6"/>
      <c r="I70" s="6"/>
    </row>
    <row r="71" spans="1:10" x14ac:dyDescent="0.3">
      <c r="A71" s="7" t="s">
        <v>56</v>
      </c>
      <c r="B71" s="7" t="s">
        <v>53</v>
      </c>
      <c r="C71" s="7" t="s">
        <v>54</v>
      </c>
      <c r="D71" s="7" t="s">
        <v>55</v>
      </c>
      <c r="E71" s="7" t="s">
        <v>57</v>
      </c>
      <c r="F71" s="7" t="s">
        <v>58</v>
      </c>
      <c r="G71" s="7" t="s">
        <v>59</v>
      </c>
      <c r="H71" s="7" t="s">
        <v>60</v>
      </c>
      <c r="I71" s="7" t="s">
        <v>61</v>
      </c>
      <c r="J71" t="s">
        <v>62</v>
      </c>
    </row>
    <row r="72" spans="1:10" x14ac:dyDescent="0.3">
      <c r="A72" s="6" t="s">
        <v>57</v>
      </c>
      <c r="B72" s="6" t="s">
        <v>53</v>
      </c>
      <c r="C72" s="6" t="s">
        <v>54</v>
      </c>
      <c r="D72" s="6" t="s">
        <v>55</v>
      </c>
      <c r="E72" s="6" t="s">
        <v>56</v>
      </c>
      <c r="F72" s="6" t="s">
        <v>58</v>
      </c>
      <c r="G72" s="6" t="s">
        <v>59</v>
      </c>
      <c r="H72" s="6" t="s">
        <v>60</v>
      </c>
      <c r="I72" s="6" t="s">
        <v>61</v>
      </c>
      <c r="J72" t="s">
        <v>62</v>
      </c>
    </row>
    <row r="73" spans="1:10" x14ac:dyDescent="0.3">
      <c r="A73" s="7" t="s">
        <v>79</v>
      </c>
      <c r="B73" s="7" t="s">
        <v>77</v>
      </c>
      <c r="C73" s="7" t="s">
        <v>78</v>
      </c>
      <c r="D73" s="7" t="s">
        <v>80</v>
      </c>
      <c r="E73" s="7"/>
      <c r="F73" s="7"/>
      <c r="G73" s="7"/>
      <c r="H73" s="7"/>
      <c r="I73" s="7"/>
    </row>
    <row r="74" spans="1:10" x14ac:dyDescent="0.3">
      <c r="A74" s="6" t="s">
        <v>84</v>
      </c>
      <c r="B74" s="6" t="s">
        <v>83</v>
      </c>
      <c r="C74" s="6" t="s">
        <v>85</v>
      </c>
      <c r="D74" s="6"/>
      <c r="E74" s="6"/>
      <c r="F74" s="6"/>
      <c r="G74" s="6"/>
      <c r="H74" s="6"/>
      <c r="I74" s="6"/>
    </row>
    <row r="75" spans="1:10" x14ac:dyDescent="0.3">
      <c r="A75" s="7" t="s">
        <v>72</v>
      </c>
      <c r="B75" s="7" t="s">
        <v>71</v>
      </c>
      <c r="C75" s="7"/>
      <c r="D75" s="7"/>
      <c r="E75" s="7"/>
      <c r="F75" s="7"/>
      <c r="G75" s="7"/>
      <c r="H75" s="7"/>
      <c r="I75" s="7"/>
    </row>
    <row r="76" spans="1:10" x14ac:dyDescent="0.3">
      <c r="A76" s="6" t="s">
        <v>52</v>
      </c>
      <c r="B76" s="6" t="s">
        <v>51</v>
      </c>
      <c r="C76" s="6"/>
      <c r="D76" s="6"/>
      <c r="E76" s="6"/>
      <c r="F76" s="6"/>
      <c r="G76" s="6"/>
      <c r="H76" s="6"/>
      <c r="I76" s="6"/>
    </row>
    <row r="77" spans="1:10" x14ac:dyDescent="0.3">
      <c r="A77" s="7" t="s">
        <v>110</v>
      </c>
      <c r="B77" s="7" t="s">
        <v>109</v>
      </c>
      <c r="C77" s="7" t="s">
        <v>111</v>
      </c>
      <c r="D77" s="7"/>
      <c r="E77" s="7"/>
      <c r="F77" s="7"/>
      <c r="G77" s="7"/>
      <c r="H77" s="7"/>
      <c r="I77" s="7"/>
    </row>
    <row r="78" spans="1:10" x14ac:dyDescent="0.3">
      <c r="A78" s="6" t="s">
        <v>105</v>
      </c>
      <c r="B78" s="6" t="s">
        <v>104</v>
      </c>
      <c r="C78" s="6"/>
      <c r="D78" s="6"/>
      <c r="E78" s="6"/>
      <c r="F78" s="6"/>
      <c r="G78" s="6"/>
      <c r="H78" s="6"/>
      <c r="I78" s="6"/>
    </row>
    <row r="79" spans="1:10" x14ac:dyDescent="0.3">
      <c r="A79" s="7" t="s">
        <v>46</v>
      </c>
      <c r="B79" s="7" t="s">
        <v>45</v>
      </c>
      <c r="C79" s="7" t="s">
        <v>47</v>
      </c>
      <c r="D79" s="7" t="s">
        <v>48</v>
      </c>
      <c r="E79" s="7"/>
      <c r="F79" s="7"/>
      <c r="G79" s="7"/>
      <c r="H79" s="7"/>
      <c r="I79" s="7"/>
    </row>
    <row r="80" spans="1:10" x14ac:dyDescent="0.3">
      <c r="A80" s="6" t="s">
        <v>120</v>
      </c>
      <c r="B80" s="6" t="s">
        <v>121</v>
      </c>
      <c r="C80" s="6"/>
      <c r="D80" s="6"/>
      <c r="E80" s="6"/>
      <c r="F80" s="6"/>
      <c r="G80" s="6"/>
      <c r="H80" s="6"/>
      <c r="I80" s="6"/>
    </row>
    <row r="81" spans="1:10" x14ac:dyDescent="0.3">
      <c r="A81" s="7" t="s">
        <v>95</v>
      </c>
      <c r="B81" s="7" t="s">
        <v>93</v>
      </c>
      <c r="C81" s="7" t="s">
        <v>94</v>
      </c>
      <c r="D81" s="7"/>
      <c r="E81" s="7"/>
      <c r="F81" s="7"/>
      <c r="G81" s="7"/>
      <c r="H81" s="7"/>
      <c r="I81" s="7"/>
    </row>
    <row r="82" spans="1:10" x14ac:dyDescent="0.3">
      <c r="A82" s="6" t="s">
        <v>102</v>
      </c>
      <c r="B82" s="6" t="s">
        <v>100</v>
      </c>
      <c r="C82" s="6" t="s">
        <v>101</v>
      </c>
      <c r="D82" s="6" t="s">
        <v>103</v>
      </c>
      <c r="E82" s="6"/>
      <c r="F82" s="6"/>
      <c r="G82" s="6"/>
      <c r="H82" s="6"/>
      <c r="I82" s="6"/>
    </row>
    <row r="83" spans="1:10" x14ac:dyDescent="0.3">
      <c r="A83" s="7" t="s">
        <v>99</v>
      </c>
      <c r="B83" s="7" t="s">
        <v>98</v>
      </c>
      <c r="C83" s="7"/>
      <c r="D83" s="7"/>
      <c r="E83" s="7"/>
      <c r="F83" s="7"/>
      <c r="G83" s="7"/>
      <c r="H83" s="7"/>
      <c r="I83" s="7"/>
    </row>
    <row r="84" spans="1:10" x14ac:dyDescent="0.3">
      <c r="A84" s="6" t="s">
        <v>58</v>
      </c>
      <c r="B84" s="6" t="s">
        <v>53</v>
      </c>
      <c r="C84" s="6" t="s">
        <v>54</v>
      </c>
      <c r="D84" s="6" t="s">
        <v>55</v>
      </c>
      <c r="E84" s="6" t="s">
        <v>56</v>
      </c>
      <c r="F84" s="6" t="s">
        <v>57</v>
      </c>
      <c r="G84" s="6" t="s">
        <v>59</v>
      </c>
      <c r="H84" s="6" t="s">
        <v>60</v>
      </c>
      <c r="I84" s="6" t="s">
        <v>61</v>
      </c>
      <c r="J84" t="s">
        <v>62</v>
      </c>
    </row>
    <row r="85" spans="1:10" x14ac:dyDescent="0.3">
      <c r="A85" s="7" t="s">
        <v>50</v>
      </c>
      <c r="B85" s="7" t="s">
        <v>49</v>
      </c>
      <c r="C85" s="7"/>
      <c r="D85" s="7"/>
      <c r="E85" s="7"/>
      <c r="F85" s="7"/>
      <c r="G85" s="7"/>
      <c r="H85" s="7"/>
      <c r="I85" s="7"/>
    </row>
    <row r="86" spans="1:10" x14ac:dyDescent="0.3">
      <c r="A86" s="6" t="s">
        <v>113</v>
      </c>
      <c r="B86" s="6" t="s">
        <v>112</v>
      </c>
      <c r="C86" s="6"/>
      <c r="D86" s="6"/>
      <c r="E86" s="6"/>
      <c r="F86" s="6"/>
      <c r="G86" s="6"/>
      <c r="H86" s="6"/>
      <c r="I86" s="6"/>
    </row>
    <row r="87" spans="1:10" x14ac:dyDescent="0.3">
      <c r="A87" s="7" t="s">
        <v>122</v>
      </c>
      <c r="B87" s="7" t="s">
        <v>123</v>
      </c>
      <c r="C87" s="7"/>
      <c r="D87" s="7"/>
      <c r="E87" s="7"/>
      <c r="F87" s="7"/>
      <c r="G87" s="7"/>
      <c r="H87" s="7"/>
      <c r="I87" s="7"/>
    </row>
    <row r="88" spans="1:10" x14ac:dyDescent="0.3">
      <c r="A88" s="6" t="s">
        <v>103</v>
      </c>
      <c r="B88" s="6" t="s">
        <v>100</v>
      </c>
      <c r="C88" s="6" t="s">
        <v>101</v>
      </c>
      <c r="D88" s="6" t="s">
        <v>102</v>
      </c>
      <c r="E88" s="6"/>
      <c r="F88" s="6"/>
      <c r="G88" s="6"/>
      <c r="H88" s="6"/>
      <c r="I88" s="6"/>
    </row>
    <row r="89" spans="1:10" x14ac:dyDescent="0.3">
      <c r="A89" s="7" t="s">
        <v>117</v>
      </c>
      <c r="B89" s="7" t="s">
        <v>116</v>
      </c>
      <c r="C89" s="7" t="s">
        <v>118</v>
      </c>
      <c r="D89" s="7" t="s">
        <v>119</v>
      </c>
      <c r="E89" s="7"/>
      <c r="F89" s="7"/>
      <c r="G89" s="7"/>
      <c r="H89" s="7"/>
      <c r="I89" s="7"/>
    </row>
    <row r="90" spans="1:10" x14ac:dyDescent="0.3">
      <c r="A90" s="6" t="s">
        <v>59</v>
      </c>
      <c r="B90" s="6" t="s">
        <v>53</v>
      </c>
      <c r="C90" s="6" t="s">
        <v>54</v>
      </c>
      <c r="D90" s="6" t="s">
        <v>55</v>
      </c>
      <c r="E90" s="6" t="s">
        <v>56</v>
      </c>
      <c r="F90" s="6" t="s">
        <v>57</v>
      </c>
      <c r="G90" s="6" t="s">
        <v>58</v>
      </c>
      <c r="H90" s="6" t="s">
        <v>60</v>
      </c>
      <c r="I90" s="6" t="s">
        <v>61</v>
      </c>
      <c r="J90" t="s">
        <v>62</v>
      </c>
    </row>
    <row r="91" spans="1:10" x14ac:dyDescent="0.3">
      <c r="A91" s="7" t="s">
        <v>80</v>
      </c>
      <c r="B91" s="7" t="s">
        <v>77</v>
      </c>
      <c r="C91" s="7" t="s">
        <v>78</v>
      </c>
      <c r="D91" s="7" t="s">
        <v>79</v>
      </c>
      <c r="E91" s="7"/>
      <c r="F91" s="7"/>
      <c r="G91" s="7"/>
      <c r="H91" s="7"/>
      <c r="I91" s="7"/>
    </row>
    <row r="92" spans="1:10" x14ac:dyDescent="0.3">
      <c r="A92" s="6" t="s">
        <v>85</v>
      </c>
      <c r="B92" s="6" t="s">
        <v>83</v>
      </c>
      <c r="C92" s="6" t="s">
        <v>84</v>
      </c>
      <c r="D92" s="6"/>
      <c r="E92" s="6"/>
      <c r="F92" s="6"/>
      <c r="G92" s="6"/>
      <c r="H92" s="6"/>
      <c r="I92" s="6"/>
    </row>
    <row r="93" spans="1:10" x14ac:dyDescent="0.3">
      <c r="A93" s="7" t="s">
        <v>89</v>
      </c>
      <c r="B93" s="7" t="s">
        <v>86</v>
      </c>
      <c r="C93" s="7" t="s">
        <v>87</v>
      </c>
      <c r="D93" s="7" t="s">
        <v>88</v>
      </c>
      <c r="E93" s="7"/>
      <c r="F93" s="7"/>
      <c r="G93" s="7"/>
      <c r="H93" s="7"/>
      <c r="I93" s="7"/>
    </row>
    <row r="94" spans="1:10" x14ac:dyDescent="0.3">
      <c r="A94" s="6" t="s">
        <v>124</v>
      </c>
      <c r="B94" s="6" t="s">
        <v>125</v>
      </c>
      <c r="C94" s="6"/>
      <c r="D94" s="6"/>
      <c r="E94" s="6"/>
      <c r="F94" s="6"/>
      <c r="G94" s="6"/>
      <c r="H94" s="6"/>
      <c r="I94" s="6"/>
    </row>
    <row r="95" spans="1:10" x14ac:dyDescent="0.3">
      <c r="A95" s="7" t="s">
        <v>115</v>
      </c>
      <c r="B95" s="7" t="s">
        <v>114</v>
      </c>
      <c r="C95" s="7"/>
      <c r="D95" s="7"/>
      <c r="E95" s="7"/>
      <c r="F95" s="7"/>
      <c r="G95" s="7"/>
      <c r="H95" s="7"/>
      <c r="I95" s="7"/>
    </row>
    <row r="96" spans="1:10" x14ac:dyDescent="0.3">
      <c r="A96" s="6" t="s">
        <v>118</v>
      </c>
      <c r="B96" s="6" t="s">
        <v>116</v>
      </c>
      <c r="C96" s="6" t="s">
        <v>117</v>
      </c>
      <c r="D96" s="6" t="s">
        <v>119</v>
      </c>
      <c r="E96" s="6"/>
      <c r="F96" s="6"/>
      <c r="G96" s="6"/>
      <c r="H96" s="6"/>
      <c r="I96" s="6"/>
    </row>
    <row r="97" spans="1:10" x14ac:dyDescent="0.3">
      <c r="A97" s="7" t="s">
        <v>47</v>
      </c>
      <c r="B97" s="7" t="s">
        <v>45</v>
      </c>
      <c r="C97" s="7" t="s">
        <v>46</v>
      </c>
      <c r="D97" s="7" t="s">
        <v>48</v>
      </c>
      <c r="E97" s="7"/>
      <c r="F97" s="7"/>
      <c r="G97" s="7"/>
      <c r="H97" s="7"/>
      <c r="I97" s="7"/>
    </row>
    <row r="98" spans="1:10" x14ac:dyDescent="0.3">
      <c r="A98" s="6" t="s">
        <v>119</v>
      </c>
      <c r="B98" s="6" t="s">
        <v>116</v>
      </c>
      <c r="C98" s="6" t="s">
        <v>117</v>
      </c>
      <c r="D98" s="6" t="s">
        <v>118</v>
      </c>
      <c r="E98" s="6"/>
      <c r="F98" s="6"/>
      <c r="G98" s="6"/>
      <c r="H98" s="6"/>
      <c r="I98" s="6"/>
    </row>
    <row r="99" spans="1:10" x14ac:dyDescent="0.3">
      <c r="A99" s="7" t="s">
        <v>60</v>
      </c>
      <c r="B99" s="7" t="s">
        <v>53</v>
      </c>
      <c r="C99" s="7" t="s">
        <v>54</v>
      </c>
      <c r="D99" s="7" t="s">
        <v>55</v>
      </c>
      <c r="E99" s="7" t="s">
        <v>56</v>
      </c>
      <c r="F99" s="7" t="s">
        <v>57</v>
      </c>
      <c r="G99" s="7" t="s">
        <v>58</v>
      </c>
      <c r="H99" s="7" t="s">
        <v>59</v>
      </c>
      <c r="I99" s="7" t="s">
        <v>61</v>
      </c>
      <c r="J99" t="s">
        <v>62</v>
      </c>
    </row>
    <row r="100" spans="1:10" x14ac:dyDescent="0.3">
      <c r="A100" s="6" t="s">
        <v>123</v>
      </c>
      <c r="B100" s="6" t="s">
        <v>122</v>
      </c>
      <c r="C100" s="6"/>
      <c r="D100" s="6"/>
      <c r="E100" s="6"/>
      <c r="F100" s="6"/>
      <c r="G100" s="6"/>
      <c r="H100" s="6"/>
      <c r="I100" s="6"/>
    </row>
    <row r="101" spans="1:10" x14ac:dyDescent="0.3">
      <c r="A101" s="7" t="s">
        <v>111</v>
      </c>
      <c r="B101" s="7" t="s">
        <v>109</v>
      </c>
      <c r="C101" s="7" t="s">
        <v>110</v>
      </c>
      <c r="D101" s="7"/>
      <c r="E101" s="7"/>
      <c r="F101" s="7"/>
      <c r="G101" s="7"/>
      <c r="H101" s="7"/>
      <c r="I101" s="7"/>
    </row>
    <row r="102" spans="1:10" x14ac:dyDescent="0.3">
      <c r="A102" s="6" t="s">
        <v>61</v>
      </c>
      <c r="B102" s="6" t="s">
        <v>53</v>
      </c>
      <c r="C102" s="6" t="s">
        <v>54</v>
      </c>
      <c r="D102" s="6" t="s">
        <v>55</v>
      </c>
      <c r="E102" s="6" t="s">
        <v>56</v>
      </c>
      <c r="F102" s="6" t="s">
        <v>57</v>
      </c>
      <c r="G102" s="6" t="s">
        <v>58</v>
      </c>
      <c r="H102" s="6" t="s">
        <v>59</v>
      </c>
      <c r="I102" s="6" t="s">
        <v>60</v>
      </c>
      <c r="J102" t="s">
        <v>62</v>
      </c>
    </row>
    <row r="103" spans="1:10" x14ac:dyDescent="0.3">
      <c r="A103" s="7" t="s">
        <v>125</v>
      </c>
      <c r="B103" s="7" t="s">
        <v>124</v>
      </c>
      <c r="C103" s="7"/>
      <c r="D103" s="7"/>
      <c r="E103" s="7"/>
      <c r="F103" s="7"/>
      <c r="G103" s="7"/>
      <c r="H103" s="7"/>
      <c r="I103" s="7"/>
    </row>
    <row r="104" spans="1:10" x14ac:dyDescent="0.3">
      <c r="A104" s="6" t="s">
        <v>121</v>
      </c>
      <c r="B104" s="6" t="s">
        <v>120</v>
      </c>
      <c r="C104" s="6"/>
      <c r="D104" s="6"/>
      <c r="E104" s="6"/>
      <c r="F104" s="6"/>
      <c r="G104" s="6"/>
      <c r="H104" s="6"/>
      <c r="I104" s="6"/>
    </row>
    <row r="105" spans="1:10" x14ac:dyDescent="0.3">
      <c r="A105" s="7" t="s">
        <v>48</v>
      </c>
      <c r="B105" s="7" t="s">
        <v>45</v>
      </c>
      <c r="C105" s="7" t="s">
        <v>46</v>
      </c>
      <c r="D105" s="7" t="s">
        <v>47</v>
      </c>
      <c r="E105" s="7"/>
      <c r="F105" s="7"/>
      <c r="G105" s="7"/>
      <c r="H105" s="7"/>
      <c r="I105" s="7"/>
    </row>
    <row r="106" spans="1:10" x14ac:dyDescent="0.3">
      <c r="A106" s="6" t="s">
        <v>62</v>
      </c>
      <c r="B106" s="6" t="s">
        <v>53</v>
      </c>
      <c r="C106" s="6" t="s">
        <v>54</v>
      </c>
      <c r="D106" s="6" t="s">
        <v>55</v>
      </c>
      <c r="E106" s="6" t="s">
        <v>56</v>
      </c>
      <c r="F106" s="6" t="s">
        <v>57</v>
      </c>
      <c r="G106" s="6" t="s">
        <v>58</v>
      </c>
      <c r="H106" s="6" t="s">
        <v>59</v>
      </c>
      <c r="I106" s="6" t="s">
        <v>60</v>
      </c>
      <c r="J106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0"/>
  <sheetViews>
    <sheetView workbookViewId="0">
      <pane ySplit="1" topLeftCell="A292" activePane="bottomLeft" state="frozen"/>
      <selection pane="bottomLeft" activeCell="B312" sqref="B312"/>
    </sheetView>
  </sheetViews>
  <sheetFormatPr baseColWidth="10" defaultColWidth="8.88671875" defaultRowHeight="14.4" x14ac:dyDescent="0.3"/>
  <cols>
    <col min="1" max="1" width="12" style="8" customWidth="1"/>
    <col min="2" max="2" width="11" style="8" customWidth="1"/>
    <col min="3" max="5" width="10" style="8" customWidth="1"/>
    <col min="6" max="6" width="22" style="8" customWidth="1"/>
    <col min="7" max="7" width="55" customWidth="1"/>
    <col min="8" max="8" width="14" customWidth="1"/>
    <col min="9" max="9" width="13" customWidth="1"/>
  </cols>
  <sheetData>
    <row r="1" spans="1:9" ht="28.05" customHeight="1" x14ac:dyDescent="0.3">
      <c r="A1" s="3" t="s">
        <v>12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9" t="s">
        <v>10</v>
      </c>
      <c r="H1" s="9" t="s">
        <v>11</v>
      </c>
      <c r="I1" s="9" t="s">
        <v>126</v>
      </c>
    </row>
    <row r="2" spans="1:9" x14ac:dyDescent="0.3">
      <c r="A2" s="6" t="s">
        <v>127</v>
      </c>
      <c r="B2" s="6"/>
      <c r="C2" s="6">
        <v>4.5</v>
      </c>
      <c r="D2" s="6">
        <v>8</v>
      </c>
      <c r="E2" s="6">
        <v>13</v>
      </c>
      <c r="F2" s="6" t="s">
        <v>128</v>
      </c>
      <c r="G2" s="10" t="s">
        <v>129</v>
      </c>
      <c r="H2" s="10">
        <v>12188</v>
      </c>
      <c r="I2" s="10"/>
    </row>
    <row r="3" spans="1:9" x14ac:dyDescent="0.3">
      <c r="A3" s="7" t="s">
        <v>130</v>
      </c>
      <c r="B3" s="7"/>
      <c r="C3" s="7">
        <v>3</v>
      </c>
      <c r="D3" s="7">
        <v>10</v>
      </c>
      <c r="E3" s="7">
        <v>13</v>
      </c>
      <c r="F3" s="7" t="s">
        <v>128</v>
      </c>
      <c r="G3" s="11" t="s">
        <v>131</v>
      </c>
      <c r="H3" s="11">
        <v>9603</v>
      </c>
      <c r="I3" s="11"/>
    </row>
    <row r="4" spans="1:9" x14ac:dyDescent="0.3">
      <c r="A4" s="6" t="s">
        <v>29</v>
      </c>
      <c r="B4" s="6">
        <v>1</v>
      </c>
      <c r="C4" s="6">
        <v>6</v>
      </c>
      <c r="D4" s="6">
        <v>9</v>
      </c>
      <c r="E4" s="6">
        <v>25</v>
      </c>
      <c r="F4" s="6" t="s">
        <v>132</v>
      </c>
      <c r="G4" s="10" t="s">
        <v>133</v>
      </c>
      <c r="H4" s="10">
        <v>3762</v>
      </c>
      <c r="I4" s="12" t="s">
        <v>134</v>
      </c>
    </row>
    <row r="5" spans="1:9" x14ac:dyDescent="0.3">
      <c r="A5" s="7" t="s">
        <v>31</v>
      </c>
      <c r="B5" s="7">
        <v>10</v>
      </c>
      <c r="C5" s="7">
        <v>6</v>
      </c>
      <c r="D5" s="7">
        <v>9</v>
      </c>
      <c r="E5" s="7">
        <v>20</v>
      </c>
      <c r="F5" s="7" t="s">
        <v>132</v>
      </c>
      <c r="G5" s="11" t="s">
        <v>135</v>
      </c>
      <c r="H5" s="11">
        <v>3542</v>
      </c>
      <c r="I5" s="12" t="s">
        <v>134</v>
      </c>
    </row>
    <row r="6" spans="1:9" x14ac:dyDescent="0.3">
      <c r="A6" s="6" t="s">
        <v>34</v>
      </c>
      <c r="B6" s="6">
        <v>10</v>
      </c>
      <c r="C6" s="6">
        <v>5.6</v>
      </c>
      <c r="D6" s="6">
        <v>5.6</v>
      </c>
      <c r="E6" s="6">
        <v>16</v>
      </c>
      <c r="F6" s="6" t="s">
        <v>132</v>
      </c>
      <c r="G6" s="10" t="s">
        <v>136</v>
      </c>
      <c r="H6" s="10">
        <v>2783</v>
      </c>
      <c r="I6" s="12" t="s">
        <v>134</v>
      </c>
    </row>
    <row r="7" spans="1:9" x14ac:dyDescent="0.3">
      <c r="A7" s="7" t="s">
        <v>137</v>
      </c>
      <c r="B7" s="7">
        <v>10</v>
      </c>
      <c r="C7" s="7">
        <v>5</v>
      </c>
      <c r="D7" s="7">
        <v>7</v>
      </c>
      <c r="E7" s="7">
        <v>18</v>
      </c>
      <c r="F7" s="7" t="s">
        <v>132</v>
      </c>
      <c r="G7" s="11" t="s">
        <v>138</v>
      </c>
      <c r="H7" s="11">
        <v>3762</v>
      </c>
      <c r="I7" s="11"/>
    </row>
    <row r="8" spans="1:9" x14ac:dyDescent="0.3">
      <c r="A8" s="6" t="s">
        <v>139</v>
      </c>
      <c r="B8" s="6">
        <v>1</v>
      </c>
      <c r="C8" s="6">
        <v>6</v>
      </c>
      <c r="D8" s="6">
        <v>12</v>
      </c>
      <c r="E8" s="6">
        <v>20</v>
      </c>
      <c r="F8" s="6" t="s">
        <v>132</v>
      </c>
      <c r="G8" s="10" t="s">
        <v>140</v>
      </c>
      <c r="H8" s="10">
        <v>5588</v>
      </c>
      <c r="I8" s="10"/>
    </row>
    <row r="9" spans="1:9" x14ac:dyDescent="0.3">
      <c r="A9" s="7" t="s">
        <v>141</v>
      </c>
      <c r="B9" s="7">
        <v>5</v>
      </c>
      <c r="C9" s="7">
        <v>6.3</v>
      </c>
      <c r="D9" s="7">
        <v>6.3</v>
      </c>
      <c r="E9" s="7">
        <v>15</v>
      </c>
      <c r="F9" s="7" t="s">
        <v>142</v>
      </c>
      <c r="G9" s="11" t="s">
        <v>143</v>
      </c>
      <c r="H9" s="11">
        <v>2530</v>
      </c>
      <c r="I9" s="11"/>
    </row>
    <row r="10" spans="1:9" x14ac:dyDescent="0.3">
      <c r="A10" s="6" t="s">
        <v>144</v>
      </c>
      <c r="B10" s="6">
        <v>5</v>
      </c>
      <c r="C10" s="6" t="s">
        <v>145</v>
      </c>
      <c r="D10" s="6">
        <v>6</v>
      </c>
      <c r="E10" s="6">
        <v>15</v>
      </c>
      <c r="F10" s="6" t="s">
        <v>142</v>
      </c>
      <c r="G10" s="10" t="s">
        <v>146</v>
      </c>
      <c r="H10" s="10">
        <v>3278</v>
      </c>
      <c r="I10" s="10"/>
    </row>
    <row r="11" spans="1:9" x14ac:dyDescent="0.3">
      <c r="A11" s="7" t="s">
        <v>147</v>
      </c>
      <c r="B11" s="7">
        <v>7</v>
      </c>
      <c r="C11" s="7">
        <v>6.3</v>
      </c>
      <c r="D11" s="7">
        <v>6.3</v>
      </c>
      <c r="E11" s="7">
        <v>13</v>
      </c>
      <c r="F11" s="7" t="s">
        <v>142</v>
      </c>
      <c r="G11" s="11" t="s">
        <v>148</v>
      </c>
      <c r="H11" s="11">
        <v>3278</v>
      </c>
      <c r="I11" s="11"/>
    </row>
    <row r="12" spans="1:9" x14ac:dyDescent="0.3">
      <c r="A12" s="6" t="s">
        <v>36</v>
      </c>
      <c r="B12" s="6">
        <v>9</v>
      </c>
      <c r="C12" s="6">
        <v>6.3</v>
      </c>
      <c r="D12" s="6">
        <v>8</v>
      </c>
      <c r="E12" s="6">
        <v>15</v>
      </c>
      <c r="F12" s="6" t="s">
        <v>142</v>
      </c>
      <c r="G12" s="10" t="s">
        <v>149</v>
      </c>
      <c r="H12" s="10">
        <v>3377</v>
      </c>
      <c r="I12" s="12" t="s">
        <v>134</v>
      </c>
    </row>
    <row r="13" spans="1:9" x14ac:dyDescent="0.3">
      <c r="A13" s="7" t="s">
        <v>36</v>
      </c>
      <c r="B13" s="7">
        <v>9</v>
      </c>
      <c r="C13" s="7">
        <v>6.3</v>
      </c>
      <c r="D13" s="7">
        <v>8</v>
      </c>
      <c r="E13" s="7">
        <v>15</v>
      </c>
      <c r="F13" s="7" t="s">
        <v>142</v>
      </c>
      <c r="G13" s="11" t="s">
        <v>150</v>
      </c>
      <c r="H13" s="11">
        <v>3377</v>
      </c>
      <c r="I13" s="12" t="s">
        <v>134</v>
      </c>
    </row>
    <row r="14" spans="1:9" x14ac:dyDescent="0.3">
      <c r="A14" s="6" t="s">
        <v>38</v>
      </c>
      <c r="B14" s="6">
        <v>7</v>
      </c>
      <c r="C14" s="6">
        <v>6.3</v>
      </c>
      <c r="D14" s="6">
        <v>9.3000000000000007</v>
      </c>
      <c r="E14" s="6">
        <v>14</v>
      </c>
      <c r="F14" s="6" t="s">
        <v>142</v>
      </c>
      <c r="G14" s="10" t="s">
        <v>151</v>
      </c>
      <c r="H14" s="10">
        <v>2200</v>
      </c>
      <c r="I14" s="12" t="s">
        <v>134</v>
      </c>
    </row>
    <row r="15" spans="1:9" x14ac:dyDescent="0.3">
      <c r="A15" s="7" t="s">
        <v>152</v>
      </c>
      <c r="B15" s="7">
        <v>1</v>
      </c>
      <c r="C15" s="7">
        <v>7</v>
      </c>
      <c r="D15" s="7">
        <v>12</v>
      </c>
      <c r="E15" s="7">
        <v>26</v>
      </c>
      <c r="F15" s="7" t="s">
        <v>142</v>
      </c>
      <c r="G15" s="11" t="s">
        <v>153</v>
      </c>
      <c r="H15" s="11">
        <v>5500</v>
      </c>
      <c r="I15" s="11"/>
    </row>
    <row r="16" spans="1:9" x14ac:dyDescent="0.3">
      <c r="A16" s="6" t="s">
        <v>154</v>
      </c>
      <c r="B16" s="6">
        <v>1</v>
      </c>
      <c r="C16" s="6">
        <v>6</v>
      </c>
      <c r="D16" s="6">
        <v>12</v>
      </c>
      <c r="E16" s="6">
        <v>21</v>
      </c>
      <c r="F16" s="6" t="s">
        <v>142</v>
      </c>
      <c r="G16" s="10" t="s">
        <v>155</v>
      </c>
      <c r="H16" s="10">
        <v>5588</v>
      </c>
      <c r="I16" s="10"/>
    </row>
    <row r="17" spans="1:9" x14ac:dyDescent="0.3">
      <c r="A17" s="7" t="s">
        <v>40</v>
      </c>
      <c r="B17" s="7">
        <v>15</v>
      </c>
      <c r="C17" s="7">
        <v>6.3</v>
      </c>
      <c r="D17" s="7">
        <v>16</v>
      </c>
      <c r="E17" s="7">
        <v>22</v>
      </c>
      <c r="F17" s="7" t="s">
        <v>156</v>
      </c>
      <c r="G17" s="11" t="s">
        <v>157</v>
      </c>
      <c r="H17" s="11">
        <v>5643.0000000000009</v>
      </c>
      <c r="I17" s="12" t="s">
        <v>134</v>
      </c>
    </row>
    <row r="18" spans="1:9" x14ac:dyDescent="0.3">
      <c r="A18" s="6" t="s">
        <v>158</v>
      </c>
      <c r="B18" s="6">
        <v>2</v>
      </c>
      <c r="C18" s="6">
        <v>5</v>
      </c>
      <c r="D18" s="6">
        <v>8</v>
      </c>
      <c r="E18" s="6">
        <v>17</v>
      </c>
      <c r="F18" s="6" t="s">
        <v>156</v>
      </c>
      <c r="G18" s="10" t="s">
        <v>159</v>
      </c>
      <c r="H18" s="10">
        <v>3762</v>
      </c>
      <c r="I18" s="10"/>
    </row>
    <row r="19" spans="1:9" x14ac:dyDescent="0.3">
      <c r="A19" s="7" t="s">
        <v>160</v>
      </c>
      <c r="B19" s="7">
        <v>11</v>
      </c>
      <c r="C19" s="7">
        <v>6</v>
      </c>
      <c r="D19" s="7">
        <v>14</v>
      </c>
      <c r="E19" s="7">
        <v>20</v>
      </c>
      <c r="F19" s="7" t="s">
        <v>156</v>
      </c>
      <c r="G19" s="11" t="s">
        <v>161</v>
      </c>
      <c r="H19" s="11">
        <v>4796</v>
      </c>
      <c r="I19" s="11"/>
    </row>
    <row r="20" spans="1:9" x14ac:dyDescent="0.3">
      <c r="A20" s="6" t="s">
        <v>43</v>
      </c>
      <c r="B20" s="6">
        <v>10</v>
      </c>
      <c r="C20" s="6">
        <v>5</v>
      </c>
      <c r="D20" s="6">
        <v>8</v>
      </c>
      <c r="E20" s="6">
        <v>17</v>
      </c>
      <c r="F20" s="6" t="s">
        <v>156</v>
      </c>
      <c r="G20" s="10" t="s">
        <v>162</v>
      </c>
      <c r="H20" s="10">
        <v>3542</v>
      </c>
      <c r="I20" s="12" t="s">
        <v>134</v>
      </c>
    </row>
    <row r="21" spans="1:9" x14ac:dyDescent="0.3">
      <c r="A21" s="7" t="s">
        <v>45</v>
      </c>
      <c r="B21" s="7">
        <v>2</v>
      </c>
      <c r="C21" s="7">
        <v>6.3</v>
      </c>
      <c r="D21" s="7">
        <v>16</v>
      </c>
      <c r="E21" s="7">
        <v>22</v>
      </c>
      <c r="F21" s="7" t="s">
        <v>156</v>
      </c>
      <c r="G21" s="11" t="s">
        <v>163</v>
      </c>
      <c r="H21" s="11">
        <v>5643.0000000000009</v>
      </c>
      <c r="I21" s="12" t="s">
        <v>134</v>
      </c>
    </row>
    <row r="22" spans="1:9" x14ac:dyDescent="0.3">
      <c r="A22" s="6" t="s">
        <v>24</v>
      </c>
      <c r="B22" s="6">
        <v>10</v>
      </c>
      <c r="C22" s="6">
        <v>6.3</v>
      </c>
      <c r="D22" s="6">
        <v>6.3</v>
      </c>
      <c r="E22" s="6">
        <v>16</v>
      </c>
      <c r="F22" s="6" t="s">
        <v>156</v>
      </c>
      <c r="G22" s="10" t="s">
        <v>164</v>
      </c>
      <c r="H22" s="10">
        <v>3278</v>
      </c>
      <c r="I22" s="12" t="s">
        <v>134</v>
      </c>
    </row>
    <row r="23" spans="1:9" x14ac:dyDescent="0.3">
      <c r="A23" s="7" t="s">
        <v>165</v>
      </c>
      <c r="B23" s="7">
        <v>15</v>
      </c>
      <c r="C23" s="7">
        <v>6.3</v>
      </c>
      <c r="D23" s="7">
        <v>10</v>
      </c>
      <c r="E23" s="7">
        <v>17</v>
      </c>
      <c r="F23" s="7" t="s">
        <v>156</v>
      </c>
      <c r="G23" s="11" t="s">
        <v>166</v>
      </c>
      <c r="H23" s="11">
        <v>3542</v>
      </c>
      <c r="I23" s="11"/>
    </row>
    <row r="24" spans="1:9" x14ac:dyDescent="0.3">
      <c r="A24" s="6" t="s">
        <v>167</v>
      </c>
      <c r="B24" s="6">
        <v>14</v>
      </c>
      <c r="C24" s="6">
        <v>6.3</v>
      </c>
      <c r="D24" s="6">
        <v>12.3</v>
      </c>
      <c r="E24" s="6">
        <v>19</v>
      </c>
      <c r="F24" s="6" t="s">
        <v>156</v>
      </c>
      <c r="G24" s="10" t="s">
        <v>168</v>
      </c>
      <c r="H24" s="10">
        <v>4554</v>
      </c>
      <c r="I24" s="10"/>
    </row>
    <row r="25" spans="1:9" x14ac:dyDescent="0.3">
      <c r="A25" s="7" t="s">
        <v>167</v>
      </c>
      <c r="B25" s="7">
        <v>14</v>
      </c>
      <c r="C25" s="7">
        <v>6.3</v>
      </c>
      <c r="D25" s="7">
        <v>12.3</v>
      </c>
      <c r="E25" s="7">
        <v>19</v>
      </c>
      <c r="F25" s="7" t="s">
        <v>156</v>
      </c>
      <c r="G25" s="11" t="s">
        <v>169</v>
      </c>
      <c r="H25" s="11">
        <v>4554</v>
      </c>
      <c r="I25" s="11"/>
    </row>
    <row r="26" spans="1:9" x14ac:dyDescent="0.3">
      <c r="A26" s="6" t="s">
        <v>170</v>
      </c>
      <c r="B26" s="6">
        <v>18</v>
      </c>
      <c r="C26" s="6">
        <v>6</v>
      </c>
      <c r="D26" s="6">
        <v>6</v>
      </c>
      <c r="E26" s="6">
        <v>16</v>
      </c>
      <c r="F26" s="6" t="s">
        <v>156</v>
      </c>
      <c r="G26" s="10" t="s">
        <v>171</v>
      </c>
      <c r="H26" s="10">
        <v>3278</v>
      </c>
      <c r="I26" s="10"/>
    </row>
    <row r="27" spans="1:9" x14ac:dyDescent="0.3">
      <c r="A27" s="7" t="s">
        <v>172</v>
      </c>
      <c r="B27" s="7">
        <v>16</v>
      </c>
      <c r="C27" s="7">
        <v>6.5</v>
      </c>
      <c r="D27" s="7">
        <v>8</v>
      </c>
      <c r="E27" s="7">
        <v>17</v>
      </c>
      <c r="F27" s="7" t="s">
        <v>156</v>
      </c>
      <c r="G27" s="11" t="s">
        <v>173</v>
      </c>
      <c r="H27" s="11">
        <v>3278</v>
      </c>
      <c r="I27" s="11"/>
    </row>
    <row r="28" spans="1:9" x14ac:dyDescent="0.3">
      <c r="A28" s="6" t="s">
        <v>174</v>
      </c>
      <c r="B28" s="6">
        <v>10</v>
      </c>
      <c r="C28" s="6">
        <v>6</v>
      </c>
      <c r="D28" s="6">
        <v>9</v>
      </c>
      <c r="E28" s="6">
        <v>27</v>
      </c>
      <c r="F28" s="6" t="s">
        <v>175</v>
      </c>
      <c r="G28" s="10" t="s">
        <v>176</v>
      </c>
      <c r="H28" s="10">
        <v>5005</v>
      </c>
      <c r="I28" s="10"/>
    </row>
    <row r="29" spans="1:9" x14ac:dyDescent="0.3">
      <c r="A29" s="7" t="s">
        <v>177</v>
      </c>
      <c r="B29" s="7">
        <v>1</v>
      </c>
      <c r="C29" s="7">
        <v>6</v>
      </c>
      <c r="D29" s="7">
        <v>12</v>
      </c>
      <c r="E29" s="7">
        <v>27</v>
      </c>
      <c r="F29" s="7" t="s">
        <v>175</v>
      </c>
      <c r="G29" s="11" t="s">
        <v>178</v>
      </c>
      <c r="H29" s="11">
        <v>5588</v>
      </c>
      <c r="I29" s="11"/>
    </row>
    <row r="30" spans="1:9" x14ac:dyDescent="0.3">
      <c r="A30" s="6" t="s">
        <v>179</v>
      </c>
      <c r="B30" s="6">
        <v>1</v>
      </c>
      <c r="C30" s="6">
        <v>6.4</v>
      </c>
      <c r="D30" s="6">
        <v>16</v>
      </c>
      <c r="E30" s="6">
        <v>20</v>
      </c>
      <c r="F30" s="6" t="s">
        <v>175</v>
      </c>
      <c r="G30" s="10" t="s">
        <v>180</v>
      </c>
      <c r="H30" s="10">
        <v>5181</v>
      </c>
      <c r="I30" s="10"/>
    </row>
    <row r="31" spans="1:9" x14ac:dyDescent="0.3">
      <c r="A31" s="7" t="s">
        <v>181</v>
      </c>
      <c r="B31" s="7">
        <v>5</v>
      </c>
      <c r="C31" s="7">
        <v>6</v>
      </c>
      <c r="D31" s="7">
        <v>6</v>
      </c>
      <c r="E31" s="7">
        <v>12</v>
      </c>
      <c r="F31" s="7" t="s">
        <v>175</v>
      </c>
      <c r="G31" s="11" t="s">
        <v>182</v>
      </c>
      <c r="H31" s="11">
        <v>2530</v>
      </c>
      <c r="I31" s="11"/>
    </row>
    <row r="32" spans="1:9" x14ac:dyDescent="0.3">
      <c r="A32" s="6" t="s">
        <v>183</v>
      </c>
      <c r="B32" s="6">
        <v>10</v>
      </c>
      <c r="C32" s="6">
        <v>6</v>
      </c>
      <c r="D32" s="6">
        <v>6</v>
      </c>
      <c r="E32" s="6">
        <v>18</v>
      </c>
      <c r="F32" s="6" t="s">
        <v>175</v>
      </c>
      <c r="G32" s="10" t="s">
        <v>184</v>
      </c>
      <c r="H32" s="10">
        <v>3278</v>
      </c>
      <c r="I32" s="10"/>
    </row>
    <row r="33" spans="1:9" x14ac:dyDescent="0.3">
      <c r="A33" s="7" t="s">
        <v>26</v>
      </c>
      <c r="B33" s="7">
        <v>5</v>
      </c>
      <c r="C33" s="7">
        <v>4</v>
      </c>
      <c r="D33" s="7">
        <v>5</v>
      </c>
      <c r="E33" s="7">
        <v>15</v>
      </c>
      <c r="F33" s="7" t="s">
        <v>185</v>
      </c>
      <c r="G33" s="11" t="s">
        <v>186</v>
      </c>
      <c r="H33" s="11">
        <v>4235</v>
      </c>
      <c r="I33" s="12" t="s">
        <v>134</v>
      </c>
    </row>
    <row r="34" spans="1:9" x14ac:dyDescent="0.3">
      <c r="A34" s="6" t="s">
        <v>187</v>
      </c>
      <c r="B34" s="6">
        <v>5</v>
      </c>
      <c r="C34" s="6">
        <v>4</v>
      </c>
      <c r="D34" s="6">
        <v>4</v>
      </c>
      <c r="E34" s="6">
        <v>12</v>
      </c>
      <c r="F34" s="6" t="s">
        <v>188</v>
      </c>
      <c r="G34" s="10" t="s">
        <v>189</v>
      </c>
      <c r="H34" s="10">
        <v>4235</v>
      </c>
      <c r="I34" s="10"/>
    </row>
    <row r="35" spans="1:9" x14ac:dyDescent="0.3">
      <c r="A35" s="7" t="s">
        <v>190</v>
      </c>
      <c r="B35" s="7">
        <v>7</v>
      </c>
      <c r="C35" s="7">
        <v>5</v>
      </c>
      <c r="D35" s="7">
        <v>7</v>
      </c>
      <c r="E35" s="7">
        <v>19</v>
      </c>
      <c r="F35" s="7" t="s">
        <v>188</v>
      </c>
      <c r="G35" s="11" t="s">
        <v>191</v>
      </c>
      <c r="H35" s="11">
        <v>4235</v>
      </c>
      <c r="I35" s="11"/>
    </row>
    <row r="36" spans="1:9" x14ac:dyDescent="0.3">
      <c r="A36" s="6" t="s">
        <v>192</v>
      </c>
      <c r="B36" s="6">
        <v>7</v>
      </c>
      <c r="C36" s="6">
        <v>5</v>
      </c>
      <c r="D36" s="6">
        <v>7</v>
      </c>
      <c r="E36" s="6">
        <v>13</v>
      </c>
      <c r="F36" s="6" t="s">
        <v>188</v>
      </c>
      <c r="G36" s="10" t="s">
        <v>193</v>
      </c>
      <c r="H36" s="10">
        <v>4235</v>
      </c>
      <c r="I36" s="10"/>
    </row>
    <row r="37" spans="1:9" x14ac:dyDescent="0.3">
      <c r="A37" s="7" t="s">
        <v>49</v>
      </c>
      <c r="B37" s="7">
        <v>1</v>
      </c>
      <c r="C37" s="7">
        <v>7</v>
      </c>
      <c r="D37" s="7">
        <v>17</v>
      </c>
      <c r="E37" s="7">
        <v>17</v>
      </c>
      <c r="F37" s="7" t="s">
        <v>194</v>
      </c>
      <c r="G37" s="11" t="s">
        <v>195</v>
      </c>
      <c r="H37" s="11">
        <v>5423</v>
      </c>
      <c r="I37" s="12" t="s">
        <v>134</v>
      </c>
    </row>
    <row r="38" spans="1:9" x14ac:dyDescent="0.3">
      <c r="A38" s="6" t="s">
        <v>196</v>
      </c>
      <c r="B38" s="6">
        <v>10</v>
      </c>
      <c r="C38" s="6">
        <v>6.5</v>
      </c>
      <c r="D38" s="6">
        <v>7.5</v>
      </c>
      <c r="E38" s="6">
        <v>13</v>
      </c>
      <c r="F38" s="6" t="s">
        <v>194</v>
      </c>
      <c r="G38" s="10" t="s">
        <v>197</v>
      </c>
      <c r="H38" s="10">
        <v>2783</v>
      </c>
      <c r="I38" s="10"/>
    </row>
    <row r="39" spans="1:9" x14ac:dyDescent="0.3">
      <c r="A39" s="7" t="s">
        <v>51</v>
      </c>
      <c r="B39" s="7">
        <v>1</v>
      </c>
      <c r="C39" s="7">
        <v>7</v>
      </c>
      <c r="D39" s="7">
        <v>11</v>
      </c>
      <c r="E39" s="7">
        <v>17</v>
      </c>
      <c r="F39" s="7" t="s">
        <v>194</v>
      </c>
      <c r="G39" s="11" t="s">
        <v>198</v>
      </c>
      <c r="H39" s="11">
        <v>5533</v>
      </c>
      <c r="I39" s="12" t="s">
        <v>134</v>
      </c>
    </row>
    <row r="40" spans="1:9" x14ac:dyDescent="0.3">
      <c r="A40" s="6" t="s">
        <v>199</v>
      </c>
      <c r="B40" s="6">
        <v>10</v>
      </c>
      <c r="C40" s="6">
        <v>6</v>
      </c>
      <c r="D40" s="6">
        <v>6</v>
      </c>
      <c r="E40" s="6">
        <v>13</v>
      </c>
      <c r="F40" s="6" t="s">
        <v>194</v>
      </c>
      <c r="G40" s="10" t="s">
        <v>200</v>
      </c>
      <c r="H40" s="10">
        <v>3278</v>
      </c>
      <c r="I40" s="10"/>
    </row>
    <row r="41" spans="1:9" x14ac:dyDescent="0.3">
      <c r="A41" s="7" t="s">
        <v>201</v>
      </c>
      <c r="B41" s="7">
        <v>1</v>
      </c>
      <c r="C41" s="7">
        <v>7</v>
      </c>
      <c r="D41" s="7">
        <v>13</v>
      </c>
      <c r="E41" s="7">
        <v>17</v>
      </c>
      <c r="F41" s="7" t="s">
        <v>194</v>
      </c>
      <c r="G41" s="11" t="s">
        <v>202</v>
      </c>
      <c r="H41" s="11">
        <v>5533</v>
      </c>
      <c r="I41" s="11"/>
    </row>
    <row r="42" spans="1:9" x14ac:dyDescent="0.3">
      <c r="A42" s="6" t="s">
        <v>203</v>
      </c>
      <c r="B42" s="6">
        <v>1</v>
      </c>
      <c r="C42" s="6">
        <v>7</v>
      </c>
      <c r="D42" s="6">
        <v>15</v>
      </c>
      <c r="E42" s="6">
        <v>17</v>
      </c>
      <c r="F42" s="6" t="s">
        <v>194</v>
      </c>
      <c r="G42" s="10" t="s">
        <v>204</v>
      </c>
      <c r="H42" s="10">
        <v>5533</v>
      </c>
      <c r="I42" s="10"/>
    </row>
    <row r="43" spans="1:9" x14ac:dyDescent="0.3">
      <c r="A43" s="7" t="s">
        <v>205</v>
      </c>
      <c r="B43" s="7"/>
      <c r="C43" s="7">
        <v>6</v>
      </c>
      <c r="D43" s="7">
        <v>13</v>
      </c>
      <c r="E43" s="7">
        <v>27</v>
      </c>
      <c r="F43" s="7" t="s">
        <v>206</v>
      </c>
      <c r="G43" s="11" t="s">
        <v>207</v>
      </c>
      <c r="H43" s="11">
        <v>6325.0000000000009</v>
      </c>
      <c r="I43" s="11"/>
    </row>
    <row r="44" spans="1:9" x14ac:dyDescent="0.3">
      <c r="A44" s="6" t="s">
        <v>208</v>
      </c>
      <c r="B44" s="6">
        <v>10</v>
      </c>
      <c r="C44" s="6">
        <v>5</v>
      </c>
      <c r="D44" s="6">
        <v>11</v>
      </c>
      <c r="E44" s="6">
        <v>15.5</v>
      </c>
      <c r="F44" s="6" t="s">
        <v>206</v>
      </c>
      <c r="G44" s="10" t="s">
        <v>209</v>
      </c>
      <c r="H44" s="10">
        <v>3718</v>
      </c>
      <c r="I44" s="10"/>
    </row>
    <row r="45" spans="1:9" x14ac:dyDescent="0.3">
      <c r="A45" s="7" t="s">
        <v>53</v>
      </c>
      <c r="B45" s="7">
        <v>1</v>
      </c>
      <c r="C45" s="7">
        <v>5</v>
      </c>
      <c r="D45" s="7">
        <v>8</v>
      </c>
      <c r="E45" s="7">
        <v>12</v>
      </c>
      <c r="F45" s="7" t="s">
        <v>206</v>
      </c>
      <c r="G45" s="11" t="s">
        <v>210</v>
      </c>
      <c r="H45" s="11">
        <v>5170</v>
      </c>
      <c r="I45" s="12" t="s">
        <v>134</v>
      </c>
    </row>
    <row r="46" spans="1:9" x14ac:dyDescent="0.3">
      <c r="A46" s="6" t="s">
        <v>211</v>
      </c>
      <c r="B46" s="6">
        <v>1</v>
      </c>
      <c r="C46" s="6">
        <v>7</v>
      </c>
      <c r="D46" s="6">
        <v>18</v>
      </c>
      <c r="E46" s="6">
        <v>16</v>
      </c>
      <c r="F46" s="6" t="s">
        <v>206</v>
      </c>
      <c r="G46" s="10" t="s">
        <v>212</v>
      </c>
      <c r="H46" s="10">
        <v>5687.0000000000009</v>
      </c>
      <c r="I46" s="10"/>
    </row>
    <row r="47" spans="1:9" x14ac:dyDescent="0.3">
      <c r="A47" s="7" t="s">
        <v>63</v>
      </c>
      <c r="B47" s="7">
        <v>1</v>
      </c>
      <c r="C47" s="7">
        <v>6.3</v>
      </c>
      <c r="D47" s="7">
        <v>13.3</v>
      </c>
      <c r="E47" s="7">
        <v>18</v>
      </c>
      <c r="F47" s="7" t="s">
        <v>206</v>
      </c>
      <c r="G47" s="11" t="s">
        <v>213</v>
      </c>
      <c r="H47" s="11">
        <v>5687.0000000000009</v>
      </c>
      <c r="I47" s="12" t="s">
        <v>134</v>
      </c>
    </row>
    <row r="48" spans="1:9" x14ac:dyDescent="0.3">
      <c r="A48" s="6" t="s">
        <v>65</v>
      </c>
      <c r="B48" s="6">
        <v>1</v>
      </c>
      <c r="C48" s="6">
        <v>6.5</v>
      </c>
      <c r="D48" s="6">
        <v>16</v>
      </c>
      <c r="E48" s="6">
        <v>16</v>
      </c>
      <c r="F48" s="6" t="s">
        <v>214</v>
      </c>
      <c r="G48" s="10" t="s">
        <v>215</v>
      </c>
      <c r="H48" s="10">
        <v>5181</v>
      </c>
      <c r="I48" s="12" t="s">
        <v>134</v>
      </c>
    </row>
    <row r="49" spans="1:9" x14ac:dyDescent="0.3">
      <c r="A49" s="7" t="s">
        <v>216</v>
      </c>
      <c r="B49" s="7">
        <v>10</v>
      </c>
      <c r="C49" s="7">
        <v>6</v>
      </c>
      <c r="D49" s="7">
        <v>6</v>
      </c>
      <c r="E49" s="7">
        <v>17</v>
      </c>
      <c r="F49" s="7" t="s">
        <v>214</v>
      </c>
      <c r="G49" s="11" t="s">
        <v>217</v>
      </c>
      <c r="H49" s="11">
        <v>3278</v>
      </c>
      <c r="I49" s="11"/>
    </row>
    <row r="50" spans="1:9" x14ac:dyDescent="0.3">
      <c r="A50" s="6" t="s">
        <v>218</v>
      </c>
      <c r="B50" s="6">
        <v>5</v>
      </c>
      <c r="C50" s="6">
        <v>6</v>
      </c>
      <c r="D50" s="6">
        <v>6</v>
      </c>
      <c r="E50" s="6">
        <v>16</v>
      </c>
      <c r="F50" s="6" t="s">
        <v>214</v>
      </c>
      <c r="G50" s="10" t="s">
        <v>219</v>
      </c>
      <c r="H50" s="10">
        <v>2530</v>
      </c>
      <c r="I50" s="10"/>
    </row>
    <row r="51" spans="1:9" x14ac:dyDescent="0.3">
      <c r="A51" s="7" t="s">
        <v>220</v>
      </c>
      <c r="B51" s="7">
        <v>1</v>
      </c>
      <c r="C51" s="7">
        <v>6</v>
      </c>
      <c r="D51" s="7">
        <v>9</v>
      </c>
      <c r="E51" s="7">
        <v>22</v>
      </c>
      <c r="F51" s="7" t="s">
        <v>214</v>
      </c>
      <c r="G51" s="11" t="s">
        <v>221</v>
      </c>
      <c r="H51" s="11">
        <v>3762</v>
      </c>
      <c r="I51" s="11"/>
    </row>
    <row r="52" spans="1:9" x14ac:dyDescent="0.3">
      <c r="A52" s="6" t="s">
        <v>64</v>
      </c>
      <c r="B52" s="6">
        <v>1</v>
      </c>
      <c r="C52" s="6">
        <v>6.3</v>
      </c>
      <c r="D52" s="6">
        <v>13.3</v>
      </c>
      <c r="E52" s="6">
        <v>18</v>
      </c>
      <c r="F52" s="6" t="s">
        <v>214</v>
      </c>
      <c r="G52" s="10" t="s">
        <v>222</v>
      </c>
      <c r="H52" s="10">
        <v>5687.0000000000009</v>
      </c>
      <c r="I52" s="12" t="s">
        <v>134</v>
      </c>
    </row>
    <row r="53" spans="1:9" x14ac:dyDescent="0.3">
      <c r="A53" s="7" t="s">
        <v>223</v>
      </c>
      <c r="B53" s="7">
        <v>1</v>
      </c>
      <c r="C53" s="7">
        <v>6</v>
      </c>
      <c r="D53" s="7">
        <v>9</v>
      </c>
      <c r="E53" s="7">
        <v>15</v>
      </c>
      <c r="F53" s="7" t="s">
        <v>214</v>
      </c>
      <c r="G53" s="11" t="s">
        <v>224</v>
      </c>
      <c r="H53" s="11">
        <v>2783</v>
      </c>
      <c r="I53" s="11"/>
    </row>
    <row r="54" spans="1:9" x14ac:dyDescent="0.3">
      <c r="A54" s="6" t="s">
        <v>67</v>
      </c>
      <c r="B54" s="6">
        <v>9</v>
      </c>
      <c r="C54" s="6">
        <v>6</v>
      </c>
      <c r="D54" s="6">
        <v>8</v>
      </c>
      <c r="E54" s="6">
        <v>17</v>
      </c>
      <c r="F54" s="6" t="s">
        <v>225</v>
      </c>
      <c r="G54" s="10" t="s">
        <v>226</v>
      </c>
      <c r="H54" s="10">
        <v>3861</v>
      </c>
      <c r="I54" s="12" t="s">
        <v>134</v>
      </c>
    </row>
    <row r="55" spans="1:9" x14ac:dyDescent="0.3">
      <c r="A55" s="7" t="s">
        <v>67</v>
      </c>
      <c r="B55" s="7">
        <v>9</v>
      </c>
      <c r="C55" s="7">
        <v>6</v>
      </c>
      <c r="D55" s="7">
        <v>8</v>
      </c>
      <c r="E55" s="7">
        <v>17</v>
      </c>
      <c r="F55" s="7" t="s">
        <v>225</v>
      </c>
      <c r="G55" s="11" t="s">
        <v>227</v>
      </c>
      <c r="H55" s="11">
        <v>3861</v>
      </c>
      <c r="I55" s="12" t="s">
        <v>134</v>
      </c>
    </row>
    <row r="56" spans="1:9" x14ac:dyDescent="0.3">
      <c r="A56" s="6" t="s">
        <v>228</v>
      </c>
      <c r="B56" s="6">
        <v>18</v>
      </c>
      <c r="C56" s="6">
        <v>8</v>
      </c>
      <c r="D56" s="6">
        <v>13.9</v>
      </c>
      <c r="E56" s="6">
        <v>18</v>
      </c>
      <c r="F56" s="6" t="s">
        <v>225</v>
      </c>
      <c r="G56" s="10" t="s">
        <v>229</v>
      </c>
      <c r="H56" s="10">
        <v>5060</v>
      </c>
      <c r="I56" s="10"/>
    </row>
    <row r="57" spans="1:9" x14ac:dyDescent="0.3">
      <c r="A57" s="7" t="s">
        <v>228</v>
      </c>
      <c r="B57" s="7">
        <v>18</v>
      </c>
      <c r="C57" s="7">
        <v>8</v>
      </c>
      <c r="D57" s="7">
        <v>13.9</v>
      </c>
      <c r="E57" s="7">
        <v>18</v>
      </c>
      <c r="F57" s="7" t="s">
        <v>225</v>
      </c>
      <c r="G57" s="11" t="s">
        <v>169</v>
      </c>
      <c r="H57" s="11">
        <v>5060</v>
      </c>
      <c r="I57" s="11"/>
    </row>
    <row r="58" spans="1:9" x14ac:dyDescent="0.3">
      <c r="A58" s="6" t="s">
        <v>230</v>
      </c>
      <c r="B58" s="6">
        <v>7</v>
      </c>
      <c r="C58" s="6">
        <v>5.5</v>
      </c>
      <c r="D58" s="6">
        <v>5.5</v>
      </c>
      <c r="E58" s="6">
        <v>12</v>
      </c>
      <c r="F58" s="6" t="s">
        <v>231</v>
      </c>
      <c r="G58" s="10" t="s">
        <v>232</v>
      </c>
      <c r="H58" s="10">
        <v>1639</v>
      </c>
      <c r="I58" s="10"/>
    </row>
    <row r="59" spans="1:9" x14ac:dyDescent="0.3">
      <c r="A59" s="7" t="s">
        <v>233</v>
      </c>
      <c r="B59" s="7">
        <v>7</v>
      </c>
      <c r="C59" s="7">
        <v>6</v>
      </c>
      <c r="D59" s="7">
        <v>8</v>
      </c>
      <c r="E59" s="7">
        <v>15</v>
      </c>
      <c r="F59" s="7" t="s">
        <v>231</v>
      </c>
      <c r="G59" s="11" t="s">
        <v>234</v>
      </c>
      <c r="H59" s="11">
        <v>1760</v>
      </c>
      <c r="I59" s="11"/>
    </row>
    <row r="60" spans="1:9" x14ac:dyDescent="0.3">
      <c r="A60" s="6" t="s">
        <v>235</v>
      </c>
      <c r="B60" s="6">
        <v>15</v>
      </c>
      <c r="C60" s="6">
        <v>9</v>
      </c>
      <c r="D60" s="6">
        <v>13.9</v>
      </c>
      <c r="E60" s="6">
        <v>22</v>
      </c>
      <c r="F60" s="6" t="s">
        <v>231</v>
      </c>
      <c r="G60" s="10" t="s">
        <v>236</v>
      </c>
      <c r="H60" s="10">
        <v>6083.0000000000009</v>
      </c>
      <c r="I60" s="10"/>
    </row>
    <row r="61" spans="1:9" x14ac:dyDescent="0.3">
      <c r="A61" s="7" t="s">
        <v>237</v>
      </c>
      <c r="B61" s="7">
        <v>5</v>
      </c>
      <c r="C61" s="7">
        <v>6</v>
      </c>
      <c r="D61" s="7">
        <v>7</v>
      </c>
      <c r="E61" s="7">
        <v>12</v>
      </c>
      <c r="F61" s="7" t="s">
        <v>238</v>
      </c>
      <c r="G61" s="11" t="s">
        <v>239</v>
      </c>
      <c r="H61" s="11">
        <v>1760</v>
      </c>
      <c r="I61" s="11"/>
    </row>
    <row r="62" spans="1:9" x14ac:dyDescent="0.3">
      <c r="A62" s="6" t="s">
        <v>240</v>
      </c>
      <c r="B62" s="6">
        <v>5</v>
      </c>
      <c r="C62" s="6">
        <v>4.8</v>
      </c>
      <c r="D62" s="6">
        <v>6.3</v>
      </c>
      <c r="E62" s="6">
        <v>15</v>
      </c>
      <c r="F62" s="6" t="s">
        <v>238</v>
      </c>
      <c r="G62" s="10" t="s">
        <v>241</v>
      </c>
      <c r="H62" s="10">
        <v>2024</v>
      </c>
      <c r="I62" s="10"/>
    </row>
    <row r="63" spans="1:9" x14ac:dyDescent="0.3">
      <c r="A63" s="7" t="s">
        <v>242</v>
      </c>
      <c r="B63" s="7">
        <v>5</v>
      </c>
      <c r="C63" s="7">
        <v>6.3</v>
      </c>
      <c r="D63" s="7">
        <v>9.5</v>
      </c>
      <c r="E63" s="7">
        <v>13</v>
      </c>
      <c r="F63" s="7" t="s">
        <v>238</v>
      </c>
      <c r="G63" s="11" t="s">
        <v>243</v>
      </c>
      <c r="H63" s="11">
        <v>2134</v>
      </c>
      <c r="I63" s="11"/>
    </row>
    <row r="64" spans="1:9" x14ac:dyDescent="0.3">
      <c r="A64" s="6" t="s">
        <v>244</v>
      </c>
      <c r="B64" s="6">
        <v>5</v>
      </c>
      <c r="C64" s="6">
        <v>5.9</v>
      </c>
      <c r="D64" s="6">
        <v>5.9</v>
      </c>
      <c r="E64" s="6">
        <v>14</v>
      </c>
      <c r="F64" s="6" t="s">
        <v>245</v>
      </c>
      <c r="G64" s="10" t="s">
        <v>246</v>
      </c>
      <c r="H64" s="10">
        <v>3542</v>
      </c>
      <c r="I64" s="10"/>
    </row>
    <row r="65" spans="1:9" x14ac:dyDescent="0.3">
      <c r="A65" s="7" t="s">
        <v>69</v>
      </c>
      <c r="B65" s="7">
        <v>15</v>
      </c>
      <c r="C65" s="7">
        <v>6</v>
      </c>
      <c r="D65" s="7">
        <v>13.8</v>
      </c>
      <c r="E65" s="7">
        <v>22</v>
      </c>
      <c r="F65" s="7" t="s">
        <v>245</v>
      </c>
      <c r="G65" s="11" t="s">
        <v>247</v>
      </c>
      <c r="H65" s="11">
        <v>5423</v>
      </c>
      <c r="I65" s="12" t="s">
        <v>134</v>
      </c>
    </row>
    <row r="66" spans="1:9" x14ac:dyDescent="0.3">
      <c r="A66" s="6" t="s">
        <v>248</v>
      </c>
      <c r="B66" s="6">
        <v>1</v>
      </c>
      <c r="C66" s="6">
        <v>8.8000000000000007</v>
      </c>
      <c r="D66" s="6">
        <v>12</v>
      </c>
      <c r="E66" s="6">
        <v>22</v>
      </c>
      <c r="F66" s="6" t="s">
        <v>245</v>
      </c>
      <c r="G66" s="10" t="s">
        <v>249</v>
      </c>
      <c r="H66" s="10">
        <v>5830.0000000000009</v>
      </c>
      <c r="I66" s="10"/>
    </row>
    <row r="67" spans="1:9" x14ac:dyDescent="0.3">
      <c r="A67" s="7" t="s">
        <v>250</v>
      </c>
      <c r="B67" s="7">
        <v>9</v>
      </c>
      <c r="C67" s="7">
        <v>8.8000000000000007</v>
      </c>
      <c r="D67" s="7">
        <v>13.8</v>
      </c>
      <c r="E67" s="7">
        <v>22</v>
      </c>
      <c r="F67" s="7" t="s">
        <v>245</v>
      </c>
      <c r="G67" s="11" t="s">
        <v>251</v>
      </c>
      <c r="H67" s="11">
        <v>5764.0000000000009</v>
      </c>
      <c r="I67" s="11"/>
    </row>
    <row r="68" spans="1:9" x14ac:dyDescent="0.3">
      <c r="A68" s="6" t="s">
        <v>252</v>
      </c>
      <c r="B68" s="6">
        <v>1</v>
      </c>
      <c r="C68" s="6">
        <v>5</v>
      </c>
      <c r="D68" s="6">
        <v>8</v>
      </c>
      <c r="E68" s="6">
        <v>9</v>
      </c>
      <c r="F68" s="6" t="s">
        <v>206</v>
      </c>
      <c r="G68" s="10" t="s">
        <v>253</v>
      </c>
      <c r="H68" s="10">
        <v>3278</v>
      </c>
      <c r="I68" s="10"/>
    </row>
    <row r="69" spans="1:9" x14ac:dyDescent="0.3">
      <c r="A69" s="7" t="s">
        <v>254</v>
      </c>
      <c r="B69" s="7">
        <v>10</v>
      </c>
      <c r="C69" s="7">
        <v>5</v>
      </c>
      <c r="D69" s="7">
        <v>5</v>
      </c>
      <c r="E69" s="7">
        <v>10</v>
      </c>
      <c r="F69" s="7" t="s">
        <v>206</v>
      </c>
      <c r="G69" s="11" t="s">
        <v>255</v>
      </c>
      <c r="H69" s="11">
        <v>3278</v>
      </c>
      <c r="I69" s="11"/>
    </row>
    <row r="70" spans="1:9" x14ac:dyDescent="0.3">
      <c r="A70" s="6" t="s">
        <v>71</v>
      </c>
      <c r="B70" s="6">
        <v>1</v>
      </c>
      <c r="C70" s="6">
        <v>6</v>
      </c>
      <c r="D70" s="6">
        <v>10</v>
      </c>
      <c r="E70" s="6">
        <v>15</v>
      </c>
      <c r="F70" s="6" t="s">
        <v>206</v>
      </c>
      <c r="G70" s="10" t="s">
        <v>256</v>
      </c>
      <c r="H70" s="10">
        <v>5313</v>
      </c>
      <c r="I70" s="12" t="s">
        <v>134</v>
      </c>
    </row>
    <row r="71" spans="1:9" x14ac:dyDescent="0.3">
      <c r="A71" s="7" t="s">
        <v>257</v>
      </c>
      <c r="B71" s="7">
        <v>3</v>
      </c>
      <c r="C71" s="7">
        <v>6.25</v>
      </c>
      <c r="D71" s="7">
        <v>8</v>
      </c>
      <c r="E71" s="7">
        <v>17</v>
      </c>
      <c r="F71" s="7" t="s">
        <v>225</v>
      </c>
      <c r="G71" s="11" t="s">
        <v>258</v>
      </c>
      <c r="H71" s="11">
        <v>2783</v>
      </c>
      <c r="I71" s="11"/>
    </row>
    <row r="72" spans="1:9" x14ac:dyDescent="0.3">
      <c r="A72" s="6" t="s">
        <v>259</v>
      </c>
      <c r="B72" s="6">
        <v>5</v>
      </c>
      <c r="C72" s="6">
        <v>5</v>
      </c>
      <c r="D72" s="6">
        <v>8</v>
      </c>
      <c r="E72" s="6">
        <v>17</v>
      </c>
      <c r="F72" s="6" t="s">
        <v>225</v>
      </c>
      <c r="G72" s="10" t="s">
        <v>260</v>
      </c>
      <c r="H72" s="10">
        <v>2783</v>
      </c>
      <c r="I72" s="10"/>
    </row>
    <row r="73" spans="1:9" x14ac:dyDescent="0.3">
      <c r="A73" s="7" t="s">
        <v>261</v>
      </c>
      <c r="B73" s="7">
        <v>1</v>
      </c>
      <c r="C73" s="7">
        <v>7</v>
      </c>
      <c r="D73" s="7">
        <v>10.5</v>
      </c>
      <c r="E73" s="7">
        <v>17</v>
      </c>
      <c r="F73" s="7" t="s">
        <v>262</v>
      </c>
      <c r="G73" s="11" t="s">
        <v>263</v>
      </c>
      <c r="H73" s="11">
        <v>3542</v>
      </c>
      <c r="I73" s="11"/>
    </row>
    <row r="74" spans="1:9" x14ac:dyDescent="0.3">
      <c r="A74" s="6" t="s">
        <v>264</v>
      </c>
      <c r="B74" s="6">
        <v>7</v>
      </c>
      <c r="C74" s="6">
        <v>6.5</v>
      </c>
      <c r="D74" s="6">
        <v>8</v>
      </c>
      <c r="E74" s="6">
        <v>14</v>
      </c>
      <c r="F74" s="6" t="s">
        <v>262</v>
      </c>
      <c r="G74" s="10" t="s">
        <v>265</v>
      </c>
      <c r="H74" s="10">
        <v>2530</v>
      </c>
      <c r="I74" s="10"/>
    </row>
    <row r="75" spans="1:9" x14ac:dyDescent="0.3">
      <c r="A75" s="7" t="s">
        <v>266</v>
      </c>
      <c r="B75" s="7">
        <v>13</v>
      </c>
      <c r="C75" s="7">
        <v>6.5</v>
      </c>
      <c r="D75" s="7">
        <v>12</v>
      </c>
      <c r="E75" s="7">
        <v>14</v>
      </c>
      <c r="F75" s="7" t="s">
        <v>262</v>
      </c>
      <c r="G75" s="11" t="s">
        <v>267</v>
      </c>
      <c r="H75" s="11">
        <v>4554</v>
      </c>
      <c r="I75" s="11"/>
    </row>
    <row r="76" spans="1:9" x14ac:dyDescent="0.3">
      <c r="A76" s="6" t="s">
        <v>73</v>
      </c>
      <c r="B76" s="6">
        <v>13</v>
      </c>
      <c r="C76" s="6">
        <v>6.5</v>
      </c>
      <c r="D76" s="6">
        <v>8</v>
      </c>
      <c r="E76" s="6">
        <v>17</v>
      </c>
      <c r="F76" s="6" t="s">
        <v>262</v>
      </c>
      <c r="G76" s="10" t="s">
        <v>268</v>
      </c>
      <c r="H76" s="10">
        <v>3905</v>
      </c>
      <c r="I76" s="12" t="s">
        <v>134</v>
      </c>
    </row>
    <row r="77" spans="1:9" x14ac:dyDescent="0.3">
      <c r="A77" s="7" t="s">
        <v>269</v>
      </c>
      <c r="B77" s="7">
        <v>2</v>
      </c>
      <c r="C77" s="7">
        <v>6</v>
      </c>
      <c r="D77" s="7">
        <v>15.5</v>
      </c>
      <c r="E77" s="7">
        <v>26</v>
      </c>
      <c r="F77" s="7" t="s">
        <v>262</v>
      </c>
      <c r="G77" s="11" t="s">
        <v>270</v>
      </c>
      <c r="H77" s="11">
        <v>5830.0000000000009</v>
      </c>
      <c r="I77" s="11"/>
    </row>
    <row r="78" spans="1:9" x14ac:dyDescent="0.3">
      <c r="A78" s="6" t="s">
        <v>271</v>
      </c>
      <c r="B78" s="6">
        <v>14</v>
      </c>
      <c r="C78" s="6">
        <v>6</v>
      </c>
      <c r="D78" s="6">
        <v>9</v>
      </c>
      <c r="E78" s="6">
        <v>14</v>
      </c>
      <c r="F78" s="6" t="s">
        <v>262</v>
      </c>
      <c r="G78" s="10"/>
      <c r="H78" s="10">
        <v>3542</v>
      </c>
      <c r="I78" s="10"/>
    </row>
    <row r="79" spans="1:9" x14ac:dyDescent="0.3">
      <c r="A79" s="7" t="s">
        <v>272</v>
      </c>
      <c r="B79" s="7">
        <v>20</v>
      </c>
      <c r="C79" s="7">
        <v>6.15</v>
      </c>
      <c r="D79" s="7">
        <v>9.9</v>
      </c>
      <c r="E79" s="7">
        <v>18.3</v>
      </c>
      <c r="F79" s="7" t="s">
        <v>262</v>
      </c>
      <c r="G79" s="11" t="s">
        <v>273</v>
      </c>
      <c r="H79" s="11">
        <v>5313</v>
      </c>
      <c r="I79" s="11"/>
    </row>
    <row r="80" spans="1:9" x14ac:dyDescent="0.3">
      <c r="A80" s="6" t="s">
        <v>274</v>
      </c>
      <c r="B80" s="6">
        <v>2</v>
      </c>
      <c r="C80" s="6">
        <v>5.2</v>
      </c>
      <c r="D80" s="6">
        <v>9.4</v>
      </c>
      <c r="E80" s="6">
        <v>18</v>
      </c>
      <c r="F80" s="6" t="s">
        <v>262</v>
      </c>
      <c r="G80" s="10" t="s">
        <v>169</v>
      </c>
      <c r="H80" s="10">
        <v>4070</v>
      </c>
      <c r="I80" s="10"/>
    </row>
    <row r="81" spans="1:9" x14ac:dyDescent="0.3">
      <c r="A81" s="7" t="s">
        <v>275</v>
      </c>
      <c r="B81" s="7">
        <v>14</v>
      </c>
      <c r="C81" s="7">
        <v>5</v>
      </c>
      <c r="D81" s="7">
        <v>9.5</v>
      </c>
      <c r="E81" s="7">
        <v>13</v>
      </c>
      <c r="F81" s="7" t="s">
        <v>262</v>
      </c>
      <c r="G81" s="11" t="s">
        <v>276</v>
      </c>
      <c r="H81" s="11">
        <v>3542</v>
      </c>
      <c r="I81" s="11"/>
    </row>
    <row r="82" spans="1:9" x14ac:dyDescent="0.3">
      <c r="A82" s="6" t="s">
        <v>277</v>
      </c>
      <c r="B82" s="6">
        <v>2</v>
      </c>
      <c r="C82" s="6">
        <v>5.9</v>
      </c>
      <c r="D82" s="6">
        <v>9.9</v>
      </c>
      <c r="E82" s="6">
        <v>23</v>
      </c>
      <c r="F82" s="6" t="s">
        <v>262</v>
      </c>
      <c r="G82" s="10" t="s">
        <v>278</v>
      </c>
      <c r="H82" s="10">
        <v>5302</v>
      </c>
      <c r="I82" s="10"/>
    </row>
    <row r="83" spans="1:9" x14ac:dyDescent="0.3">
      <c r="A83" s="7" t="s">
        <v>279</v>
      </c>
      <c r="B83" s="7">
        <v>9</v>
      </c>
      <c r="C83" s="7">
        <v>6</v>
      </c>
      <c r="D83" s="7">
        <v>10</v>
      </c>
      <c r="E83" s="7">
        <v>13</v>
      </c>
      <c r="F83" s="7" t="s">
        <v>262</v>
      </c>
      <c r="G83" s="11" t="s">
        <v>280</v>
      </c>
      <c r="H83" s="11">
        <v>3762</v>
      </c>
      <c r="I83" s="11"/>
    </row>
    <row r="84" spans="1:9" x14ac:dyDescent="0.3">
      <c r="A84" s="6" t="s">
        <v>281</v>
      </c>
      <c r="B84" s="6">
        <v>8</v>
      </c>
      <c r="C84" s="6">
        <v>6</v>
      </c>
      <c r="D84" s="6">
        <v>7</v>
      </c>
      <c r="E84" s="6">
        <v>14</v>
      </c>
      <c r="F84" s="6" t="s">
        <v>262</v>
      </c>
      <c r="G84" s="10" t="s">
        <v>282</v>
      </c>
      <c r="H84" s="10">
        <v>3762</v>
      </c>
      <c r="I84" s="10"/>
    </row>
    <row r="85" spans="1:9" x14ac:dyDescent="0.3">
      <c r="A85" s="7" t="s">
        <v>283</v>
      </c>
      <c r="B85" s="7">
        <v>14</v>
      </c>
      <c r="C85" s="7">
        <v>6.3</v>
      </c>
      <c r="D85" s="7">
        <v>16</v>
      </c>
      <c r="E85" s="7">
        <v>24</v>
      </c>
      <c r="F85" s="7" t="s">
        <v>262</v>
      </c>
      <c r="G85" s="11" t="s">
        <v>284</v>
      </c>
      <c r="H85" s="11">
        <v>5588</v>
      </c>
      <c r="I85" s="11"/>
    </row>
    <row r="86" spans="1:9" x14ac:dyDescent="0.3">
      <c r="A86" s="6" t="s">
        <v>75</v>
      </c>
      <c r="B86" s="6">
        <v>9</v>
      </c>
      <c r="C86" s="6">
        <v>6.3</v>
      </c>
      <c r="D86" s="6">
        <v>8</v>
      </c>
      <c r="E86" s="6">
        <v>14</v>
      </c>
      <c r="F86" s="6" t="s">
        <v>262</v>
      </c>
      <c r="G86" s="10" t="s">
        <v>285</v>
      </c>
      <c r="H86" s="10">
        <v>3366</v>
      </c>
      <c r="I86" s="12" t="s">
        <v>134</v>
      </c>
    </row>
    <row r="87" spans="1:9" x14ac:dyDescent="0.3">
      <c r="A87" s="7" t="s">
        <v>75</v>
      </c>
      <c r="B87" s="7">
        <v>9</v>
      </c>
      <c r="C87" s="7">
        <v>6.3</v>
      </c>
      <c r="D87" s="7">
        <v>8</v>
      </c>
      <c r="E87" s="7">
        <v>14</v>
      </c>
      <c r="F87" s="7" t="s">
        <v>262</v>
      </c>
      <c r="G87" s="11" t="s">
        <v>227</v>
      </c>
      <c r="H87" s="11">
        <v>3366</v>
      </c>
      <c r="I87" s="12" t="s">
        <v>134</v>
      </c>
    </row>
    <row r="88" spans="1:9" x14ac:dyDescent="0.3">
      <c r="A88" s="6" t="s">
        <v>286</v>
      </c>
      <c r="B88" s="6">
        <v>8</v>
      </c>
      <c r="C88" s="6">
        <v>6.3</v>
      </c>
      <c r="D88" s="6">
        <v>6.3</v>
      </c>
      <c r="E88" s="6">
        <v>13</v>
      </c>
      <c r="F88" s="6" t="s">
        <v>262</v>
      </c>
      <c r="G88" s="10" t="s">
        <v>287</v>
      </c>
      <c r="H88" s="10">
        <v>3542</v>
      </c>
      <c r="I88" s="10"/>
    </row>
    <row r="89" spans="1:9" x14ac:dyDescent="0.3">
      <c r="A89" s="7" t="s">
        <v>288</v>
      </c>
      <c r="B89" s="7">
        <v>8</v>
      </c>
      <c r="C89" s="7">
        <v>6</v>
      </c>
      <c r="D89" s="7">
        <v>7</v>
      </c>
      <c r="E89" s="7">
        <v>16</v>
      </c>
      <c r="F89" s="7" t="s">
        <v>262</v>
      </c>
      <c r="G89" s="11" t="s">
        <v>289</v>
      </c>
      <c r="H89" s="11">
        <v>4884</v>
      </c>
      <c r="I89" s="11"/>
    </row>
    <row r="90" spans="1:9" x14ac:dyDescent="0.3">
      <c r="A90" s="6" t="s">
        <v>290</v>
      </c>
      <c r="B90" s="6">
        <v>14</v>
      </c>
      <c r="C90" s="6">
        <v>6.3</v>
      </c>
      <c r="D90" s="6">
        <v>12.5</v>
      </c>
      <c r="E90" s="6">
        <v>24</v>
      </c>
      <c r="F90" s="6" t="s">
        <v>262</v>
      </c>
      <c r="G90" s="10" t="s">
        <v>227</v>
      </c>
      <c r="H90" s="10">
        <v>5588</v>
      </c>
      <c r="I90" s="10"/>
    </row>
    <row r="91" spans="1:9" x14ac:dyDescent="0.3">
      <c r="A91" s="7" t="s">
        <v>291</v>
      </c>
      <c r="B91" s="7">
        <v>8</v>
      </c>
      <c r="C91" s="7">
        <v>6</v>
      </c>
      <c r="D91" s="7">
        <v>7</v>
      </c>
      <c r="E91" s="7">
        <v>18</v>
      </c>
      <c r="F91" s="7" t="s">
        <v>262</v>
      </c>
      <c r="G91" s="11" t="s">
        <v>169</v>
      </c>
      <c r="H91" s="11">
        <v>4884</v>
      </c>
      <c r="I91" s="11"/>
    </row>
    <row r="92" spans="1:9" x14ac:dyDescent="0.3">
      <c r="A92" s="6" t="s">
        <v>292</v>
      </c>
      <c r="B92" s="6">
        <v>1</v>
      </c>
      <c r="C92" s="6">
        <v>7</v>
      </c>
      <c r="D92" s="6">
        <v>11</v>
      </c>
      <c r="E92" s="6">
        <v>18</v>
      </c>
      <c r="F92" s="6" t="s">
        <v>262</v>
      </c>
      <c r="G92" s="10" t="s">
        <v>293</v>
      </c>
      <c r="H92" s="10">
        <v>5533</v>
      </c>
      <c r="I92" s="10"/>
    </row>
    <row r="93" spans="1:9" x14ac:dyDescent="0.3">
      <c r="A93" s="7" t="s">
        <v>294</v>
      </c>
      <c r="B93" s="7">
        <v>1</v>
      </c>
      <c r="C93" s="7">
        <v>6.5</v>
      </c>
      <c r="D93" s="7">
        <v>14</v>
      </c>
      <c r="E93" s="7">
        <v>20</v>
      </c>
      <c r="F93" s="7" t="s">
        <v>262</v>
      </c>
      <c r="G93" s="11" t="s">
        <v>295</v>
      </c>
      <c r="H93" s="11">
        <v>5060</v>
      </c>
      <c r="I93" s="11"/>
    </row>
    <row r="94" spans="1:9" x14ac:dyDescent="0.3">
      <c r="A94" s="6" t="s">
        <v>54</v>
      </c>
      <c r="B94" s="6">
        <v>1</v>
      </c>
      <c r="C94" s="6">
        <v>5</v>
      </c>
      <c r="D94" s="6">
        <v>8</v>
      </c>
      <c r="E94" s="6">
        <v>12</v>
      </c>
      <c r="F94" s="6" t="s">
        <v>296</v>
      </c>
      <c r="G94" s="10" t="s">
        <v>297</v>
      </c>
      <c r="H94" s="10">
        <v>2530</v>
      </c>
      <c r="I94" s="12" t="s">
        <v>134</v>
      </c>
    </row>
    <row r="95" spans="1:9" x14ac:dyDescent="0.3">
      <c r="A95" s="7" t="s">
        <v>298</v>
      </c>
      <c r="B95" s="7">
        <v>10</v>
      </c>
      <c r="C95" s="7">
        <v>6</v>
      </c>
      <c r="D95" s="7">
        <v>10</v>
      </c>
      <c r="E95" s="7">
        <v>26</v>
      </c>
      <c r="F95" s="7" t="s">
        <v>296</v>
      </c>
      <c r="G95" s="11" t="s">
        <v>299</v>
      </c>
      <c r="H95" s="11">
        <v>5060</v>
      </c>
      <c r="I95" s="11"/>
    </row>
    <row r="96" spans="1:9" x14ac:dyDescent="0.3">
      <c r="A96" s="6" t="s">
        <v>300</v>
      </c>
      <c r="B96" s="6">
        <v>1</v>
      </c>
      <c r="C96" s="6">
        <v>8</v>
      </c>
      <c r="D96" s="6">
        <v>12</v>
      </c>
      <c r="E96" s="6">
        <v>27</v>
      </c>
      <c r="F96" s="6" t="s">
        <v>296</v>
      </c>
      <c r="G96" s="10" t="s">
        <v>301</v>
      </c>
      <c r="H96" s="10">
        <v>5302</v>
      </c>
      <c r="I96" s="10"/>
    </row>
    <row r="97" spans="1:9" x14ac:dyDescent="0.3">
      <c r="A97" s="7" t="s">
        <v>302</v>
      </c>
      <c r="B97" s="7">
        <v>10</v>
      </c>
      <c r="C97" s="7">
        <v>4.9000000000000004</v>
      </c>
      <c r="D97" s="7">
        <v>7.9</v>
      </c>
      <c r="E97" s="7">
        <v>11.3</v>
      </c>
      <c r="F97" s="7" t="s">
        <v>303</v>
      </c>
      <c r="G97" s="11" t="s">
        <v>304</v>
      </c>
      <c r="H97" s="11">
        <v>2255</v>
      </c>
      <c r="I97" s="11"/>
    </row>
    <row r="98" spans="1:9" x14ac:dyDescent="0.3">
      <c r="A98" s="6" t="s">
        <v>305</v>
      </c>
      <c r="B98" s="6">
        <v>1</v>
      </c>
      <c r="C98" s="6">
        <v>4.9000000000000004</v>
      </c>
      <c r="D98" s="6">
        <v>7.9</v>
      </c>
      <c r="E98" s="6">
        <v>11.6</v>
      </c>
      <c r="F98" s="6" t="s">
        <v>303</v>
      </c>
      <c r="G98" s="10" t="s">
        <v>306</v>
      </c>
      <c r="H98" s="10">
        <v>2530</v>
      </c>
      <c r="I98" s="10"/>
    </row>
    <row r="99" spans="1:9" x14ac:dyDescent="0.3">
      <c r="A99" s="7" t="s">
        <v>77</v>
      </c>
      <c r="B99" s="7">
        <v>10</v>
      </c>
      <c r="C99" s="7">
        <v>5</v>
      </c>
      <c r="D99" s="7">
        <v>8</v>
      </c>
      <c r="E99" s="7">
        <v>12</v>
      </c>
      <c r="F99" s="7" t="s">
        <v>303</v>
      </c>
      <c r="G99" s="11" t="s">
        <v>307</v>
      </c>
      <c r="H99" s="11">
        <v>2376</v>
      </c>
      <c r="I99" s="12" t="s">
        <v>134</v>
      </c>
    </row>
    <row r="100" spans="1:9" x14ac:dyDescent="0.3">
      <c r="A100" s="6" t="s">
        <v>308</v>
      </c>
      <c r="B100" s="6">
        <v>10</v>
      </c>
      <c r="C100" s="6">
        <v>4.8499999999999996</v>
      </c>
      <c r="D100" s="6">
        <v>7.85</v>
      </c>
      <c r="E100" s="6">
        <v>12.5</v>
      </c>
      <c r="F100" s="6" t="s">
        <v>303</v>
      </c>
      <c r="G100" s="10" t="s">
        <v>309</v>
      </c>
      <c r="H100" s="10">
        <v>2299</v>
      </c>
      <c r="I100" s="10"/>
    </row>
    <row r="101" spans="1:9" x14ac:dyDescent="0.3">
      <c r="A101" s="7" t="s">
        <v>310</v>
      </c>
      <c r="B101" s="7">
        <v>1</v>
      </c>
      <c r="C101" s="7">
        <v>5.9</v>
      </c>
      <c r="D101" s="7">
        <v>8.9</v>
      </c>
      <c r="E101" s="7">
        <v>13</v>
      </c>
      <c r="F101" s="7" t="s">
        <v>303</v>
      </c>
      <c r="G101" s="11" t="s">
        <v>311</v>
      </c>
      <c r="H101" s="11">
        <v>3025</v>
      </c>
      <c r="I101" s="11"/>
    </row>
    <row r="102" spans="1:9" x14ac:dyDescent="0.3">
      <c r="A102" s="6" t="s">
        <v>312</v>
      </c>
      <c r="B102" s="6">
        <v>1</v>
      </c>
      <c r="C102" s="6">
        <v>7.9</v>
      </c>
      <c r="D102" s="6">
        <v>14.4</v>
      </c>
      <c r="E102" s="6">
        <v>21</v>
      </c>
      <c r="F102" s="6" t="s">
        <v>303</v>
      </c>
      <c r="G102" s="10" t="s">
        <v>313</v>
      </c>
      <c r="H102" s="10">
        <v>5060</v>
      </c>
      <c r="I102" s="10"/>
    </row>
    <row r="103" spans="1:9" x14ac:dyDescent="0.3">
      <c r="A103" s="7" t="s">
        <v>314</v>
      </c>
      <c r="B103" s="7">
        <v>1</v>
      </c>
      <c r="C103" s="7">
        <v>4.9000000000000004</v>
      </c>
      <c r="D103" s="7">
        <v>7.9</v>
      </c>
      <c r="E103" s="7">
        <v>12.8</v>
      </c>
      <c r="F103" s="7" t="s">
        <v>303</v>
      </c>
      <c r="G103" s="11" t="s">
        <v>315</v>
      </c>
      <c r="H103" s="11">
        <v>2299</v>
      </c>
      <c r="I103" s="11"/>
    </row>
    <row r="104" spans="1:9" x14ac:dyDescent="0.3">
      <c r="A104" s="6" t="s">
        <v>316</v>
      </c>
      <c r="B104" s="6">
        <v>2</v>
      </c>
      <c r="C104" s="6">
        <v>6.35</v>
      </c>
      <c r="D104" s="6">
        <v>13.4</v>
      </c>
      <c r="E104" s="6">
        <v>16.3</v>
      </c>
      <c r="F104" s="6" t="s">
        <v>303</v>
      </c>
      <c r="G104" s="10" t="s">
        <v>317</v>
      </c>
      <c r="H104" s="10">
        <v>5060</v>
      </c>
      <c r="I104" s="10"/>
    </row>
    <row r="105" spans="1:9" x14ac:dyDescent="0.3">
      <c r="A105" s="7" t="s">
        <v>318</v>
      </c>
      <c r="B105" s="7">
        <v>10</v>
      </c>
      <c r="C105" s="7">
        <v>4.8</v>
      </c>
      <c r="D105" s="7">
        <v>7.9</v>
      </c>
      <c r="E105" s="7">
        <v>11.5</v>
      </c>
      <c r="F105" s="7" t="s">
        <v>303</v>
      </c>
      <c r="G105" s="11" t="s">
        <v>319</v>
      </c>
      <c r="H105" s="11">
        <v>2816</v>
      </c>
      <c r="I105" s="11"/>
    </row>
    <row r="106" spans="1:9" x14ac:dyDescent="0.3">
      <c r="A106" s="6" t="s">
        <v>320</v>
      </c>
      <c r="B106" s="6"/>
      <c r="C106" s="6">
        <v>5.3</v>
      </c>
      <c r="D106" s="6">
        <v>10.35</v>
      </c>
      <c r="E106" s="6">
        <v>19.600000000000001</v>
      </c>
      <c r="F106" s="6" t="s">
        <v>303</v>
      </c>
      <c r="G106" s="10" t="s">
        <v>321</v>
      </c>
      <c r="H106" s="10">
        <v>3410</v>
      </c>
      <c r="I106" s="10"/>
    </row>
    <row r="107" spans="1:9" x14ac:dyDescent="0.3">
      <c r="A107" s="7" t="s">
        <v>322</v>
      </c>
      <c r="B107" s="7">
        <v>10</v>
      </c>
      <c r="C107" s="7">
        <v>6.4</v>
      </c>
      <c r="D107" s="7">
        <v>7.45</v>
      </c>
      <c r="E107" s="7">
        <v>12.7</v>
      </c>
      <c r="F107" s="7" t="s">
        <v>303</v>
      </c>
      <c r="G107" s="11" t="s">
        <v>323</v>
      </c>
      <c r="H107" s="11">
        <v>3410</v>
      </c>
      <c r="I107" s="11"/>
    </row>
    <row r="108" spans="1:9" x14ac:dyDescent="0.3">
      <c r="A108" s="6" t="s">
        <v>324</v>
      </c>
      <c r="B108" s="6">
        <v>1</v>
      </c>
      <c r="C108" s="6">
        <v>6.25</v>
      </c>
      <c r="D108" s="6">
        <v>9</v>
      </c>
      <c r="E108" s="6">
        <v>15</v>
      </c>
      <c r="F108" s="6" t="s">
        <v>303</v>
      </c>
      <c r="G108" s="10" t="s">
        <v>325</v>
      </c>
      <c r="H108" s="10">
        <v>3410</v>
      </c>
      <c r="I108" s="10"/>
    </row>
    <row r="109" spans="1:9" x14ac:dyDescent="0.3">
      <c r="A109" s="7" t="s">
        <v>326</v>
      </c>
      <c r="B109" s="7"/>
      <c r="C109" s="7">
        <v>6.35</v>
      </c>
      <c r="D109" s="7">
        <v>10.85</v>
      </c>
      <c r="E109" s="7">
        <v>13.8</v>
      </c>
      <c r="F109" s="7" t="s">
        <v>303</v>
      </c>
      <c r="G109" s="11" t="s">
        <v>327</v>
      </c>
      <c r="H109" s="11">
        <v>3993</v>
      </c>
      <c r="I109" s="11"/>
    </row>
    <row r="110" spans="1:9" x14ac:dyDescent="0.3">
      <c r="A110" s="6" t="s">
        <v>328</v>
      </c>
      <c r="B110" s="6">
        <v>9</v>
      </c>
      <c r="C110" s="6">
        <v>6.5</v>
      </c>
      <c r="D110" s="6">
        <v>7.5</v>
      </c>
      <c r="E110" s="6">
        <v>14</v>
      </c>
      <c r="F110" s="6" t="s">
        <v>329</v>
      </c>
      <c r="G110" s="10" t="s">
        <v>330</v>
      </c>
      <c r="H110" s="10">
        <v>2618</v>
      </c>
      <c r="I110" s="10"/>
    </row>
    <row r="111" spans="1:9" x14ac:dyDescent="0.3">
      <c r="A111" s="7" t="s">
        <v>328</v>
      </c>
      <c r="B111" s="7">
        <v>9</v>
      </c>
      <c r="C111" s="7">
        <v>6.5</v>
      </c>
      <c r="D111" s="7">
        <v>7.5</v>
      </c>
      <c r="E111" s="7">
        <v>14</v>
      </c>
      <c r="F111" s="7" t="s">
        <v>329</v>
      </c>
      <c r="G111" s="11" t="s">
        <v>169</v>
      </c>
      <c r="H111" s="11">
        <v>2618</v>
      </c>
      <c r="I111" s="11"/>
    </row>
    <row r="112" spans="1:9" x14ac:dyDescent="0.3">
      <c r="A112" s="6" t="s">
        <v>331</v>
      </c>
      <c r="B112" s="6">
        <v>3</v>
      </c>
      <c r="C112" s="6">
        <v>6.5</v>
      </c>
      <c r="D112" s="6">
        <v>7.5</v>
      </c>
      <c r="E112" s="6">
        <v>14</v>
      </c>
      <c r="F112" s="6" t="s">
        <v>329</v>
      </c>
      <c r="G112" s="10" t="s">
        <v>332</v>
      </c>
      <c r="H112" s="10">
        <v>2783</v>
      </c>
      <c r="I112" s="10"/>
    </row>
    <row r="113" spans="1:9" x14ac:dyDescent="0.3">
      <c r="A113" s="7" t="s">
        <v>333</v>
      </c>
      <c r="B113" s="7">
        <v>10</v>
      </c>
      <c r="C113" s="7">
        <v>6.5</v>
      </c>
      <c r="D113" s="7">
        <v>7.5</v>
      </c>
      <c r="E113" s="7">
        <v>14</v>
      </c>
      <c r="F113" s="7" t="s">
        <v>329</v>
      </c>
      <c r="G113" s="11" t="s">
        <v>334</v>
      </c>
      <c r="H113" s="11">
        <v>2783</v>
      </c>
      <c r="I113" s="11"/>
    </row>
    <row r="114" spans="1:9" x14ac:dyDescent="0.3">
      <c r="A114" s="6" t="s">
        <v>335</v>
      </c>
      <c r="B114" s="6">
        <v>9</v>
      </c>
      <c r="C114" s="6">
        <v>6.3</v>
      </c>
      <c r="D114" s="6">
        <v>10.8</v>
      </c>
      <c r="E114" s="6">
        <v>21</v>
      </c>
      <c r="F114" s="6" t="s">
        <v>329</v>
      </c>
      <c r="G114" s="10" t="s">
        <v>336</v>
      </c>
      <c r="H114" s="10">
        <v>2310</v>
      </c>
      <c r="I114" s="10"/>
    </row>
    <row r="115" spans="1:9" x14ac:dyDescent="0.3">
      <c r="A115" s="7" t="s">
        <v>337</v>
      </c>
      <c r="B115" s="7">
        <v>9</v>
      </c>
      <c r="C115" s="7">
        <v>6.2</v>
      </c>
      <c r="D115" s="7">
        <v>15.8</v>
      </c>
      <c r="E115" s="7">
        <v>19</v>
      </c>
      <c r="F115" s="7" t="s">
        <v>329</v>
      </c>
      <c r="G115" s="11" t="s">
        <v>338</v>
      </c>
      <c r="H115" s="11">
        <v>5643.0000000000009</v>
      </c>
      <c r="I115" s="11"/>
    </row>
    <row r="116" spans="1:9" x14ac:dyDescent="0.3">
      <c r="A116" s="6" t="s">
        <v>339</v>
      </c>
      <c r="B116" s="6">
        <v>5</v>
      </c>
      <c r="C116" s="6">
        <v>5</v>
      </c>
      <c r="D116" s="6">
        <v>8</v>
      </c>
      <c r="E116" s="6">
        <v>14</v>
      </c>
      <c r="F116" s="6" t="s">
        <v>329</v>
      </c>
      <c r="G116" s="10" t="s">
        <v>340</v>
      </c>
      <c r="H116" s="10">
        <v>2783</v>
      </c>
      <c r="I116" s="10"/>
    </row>
    <row r="117" spans="1:9" x14ac:dyDescent="0.3">
      <c r="A117" s="7" t="s">
        <v>341</v>
      </c>
      <c r="B117" s="7">
        <v>9</v>
      </c>
      <c r="C117" s="7">
        <v>6.3</v>
      </c>
      <c r="D117" s="7">
        <v>14</v>
      </c>
      <c r="E117" s="7">
        <v>40</v>
      </c>
      <c r="F117" s="7" t="s">
        <v>329</v>
      </c>
      <c r="G117" s="11"/>
      <c r="H117" s="11">
        <v>7590.0000000000009</v>
      </c>
      <c r="I117" s="11"/>
    </row>
    <row r="118" spans="1:9" x14ac:dyDescent="0.3">
      <c r="A118" s="6" t="s">
        <v>342</v>
      </c>
      <c r="B118" s="6">
        <v>9</v>
      </c>
      <c r="C118" s="6">
        <v>6.3</v>
      </c>
      <c r="D118" s="6">
        <v>8</v>
      </c>
      <c r="E118" s="6">
        <v>40</v>
      </c>
      <c r="F118" s="6" t="s">
        <v>329</v>
      </c>
      <c r="G118" s="10" t="s">
        <v>343</v>
      </c>
      <c r="H118" s="10">
        <v>5126</v>
      </c>
      <c r="I118" s="10"/>
    </row>
    <row r="119" spans="1:9" x14ac:dyDescent="0.3">
      <c r="A119" s="7" t="s">
        <v>344</v>
      </c>
      <c r="B119" s="7"/>
      <c r="C119" s="7">
        <v>6.25</v>
      </c>
      <c r="D119" s="7">
        <v>8.25</v>
      </c>
      <c r="E119" s="7">
        <v>14</v>
      </c>
      <c r="F119" s="7" t="s">
        <v>329</v>
      </c>
      <c r="G119" s="11"/>
      <c r="H119" s="11">
        <v>2783</v>
      </c>
      <c r="I119" s="11"/>
    </row>
    <row r="120" spans="1:9" x14ac:dyDescent="0.3">
      <c r="A120" s="6" t="s">
        <v>345</v>
      </c>
      <c r="B120" s="6"/>
      <c r="C120" s="6">
        <v>4.75</v>
      </c>
      <c r="D120" s="6">
        <v>10</v>
      </c>
      <c r="E120" s="6">
        <v>15</v>
      </c>
      <c r="F120" s="6" t="s">
        <v>329</v>
      </c>
      <c r="G120" s="10" t="s">
        <v>346</v>
      </c>
      <c r="H120" s="10">
        <v>2783</v>
      </c>
      <c r="I120" s="10"/>
    </row>
    <row r="121" spans="1:9" x14ac:dyDescent="0.3">
      <c r="A121" s="7" t="s">
        <v>347</v>
      </c>
      <c r="B121" s="7"/>
      <c r="C121" s="7">
        <v>7</v>
      </c>
      <c r="D121" s="7">
        <v>19</v>
      </c>
      <c r="E121" s="7">
        <v>15</v>
      </c>
      <c r="F121" s="7" t="s">
        <v>329</v>
      </c>
      <c r="G121" s="11" t="s">
        <v>348</v>
      </c>
      <c r="H121" s="11">
        <v>5159</v>
      </c>
      <c r="I121" s="11"/>
    </row>
    <row r="122" spans="1:9" x14ac:dyDescent="0.3">
      <c r="A122" s="6" t="s">
        <v>349</v>
      </c>
      <c r="B122" s="6"/>
      <c r="C122" s="6">
        <v>5</v>
      </c>
      <c r="D122" s="6">
        <v>12</v>
      </c>
      <c r="E122" s="6">
        <v>17</v>
      </c>
      <c r="F122" s="6" t="s">
        <v>329</v>
      </c>
      <c r="G122" s="10" t="s">
        <v>350</v>
      </c>
      <c r="H122" s="10">
        <v>3025</v>
      </c>
      <c r="I122" s="10"/>
    </row>
    <row r="123" spans="1:9" x14ac:dyDescent="0.3">
      <c r="A123" s="7" t="s">
        <v>351</v>
      </c>
      <c r="B123" s="7"/>
      <c r="C123" s="7">
        <v>8</v>
      </c>
      <c r="D123" s="7">
        <v>10</v>
      </c>
      <c r="E123" s="7">
        <v>11.5</v>
      </c>
      <c r="F123" s="7" t="s">
        <v>329</v>
      </c>
      <c r="G123" s="11" t="s">
        <v>352</v>
      </c>
      <c r="H123" s="11">
        <v>3025</v>
      </c>
      <c r="I123" s="11"/>
    </row>
    <row r="124" spans="1:9" x14ac:dyDescent="0.3">
      <c r="A124" s="6" t="s">
        <v>353</v>
      </c>
      <c r="B124" s="6"/>
      <c r="C124" s="6">
        <v>5.5</v>
      </c>
      <c r="D124" s="6">
        <v>8.5</v>
      </c>
      <c r="E124" s="6">
        <v>15</v>
      </c>
      <c r="F124" s="6" t="s">
        <v>329</v>
      </c>
      <c r="G124" s="10" t="s">
        <v>354</v>
      </c>
      <c r="H124" s="10">
        <v>3025</v>
      </c>
      <c r="I124" s="10"/>
    </row>
    <row r="125" spans="1:9" x14ac:dyDescent="0.3">
      <c r="A125" s="7" t="s">
        <v>355</v>
      </c>
      <c r="B125" s="7"/>
      <c r="C125" s="7">
        <v>6.8</v>
      </c>
      <c r="D125" s="7">
        <v>18.3</v>
      </c>
      <c r="E125" s="7">
        <v>14.2</v>
      </c>
      <c r="F125" s="7" t="s">
        <v>329</v>
      </c>
      <c r="G125" s="11" t="s">
        <v>356</v>
      </c>
      <c r="H125" s="11">
        <v>3025</v>
      </c>
      <c r="I125" s="11"/>
    </row>
    <row r="126" spans="1:9" x14ac:dyDescent="0.3">
      <c r="A126" s="6" t="s">
        <v>357</v>
      </c>
      <c r="B126" s="6">
        <v>18</v>
      </c>
      <c r="C126" s="6">
        <v>6</v>
      </c>
      <c r="D126" s="6">
        <v>16</v>
      </c>
      <c r="E126" s="6">
        <v>22</v>
      </c>
      <c r="F126" s="6" t="s">
        <v>358</v>
      </c>
      <c r="G126" s="10" t="s">
        <v>359</v>
      </c>
      <c r="H126" s="10">
        <v>4004</v>
      </c>
      <c r="I126" s="10"/>
    </row>
    <row r="127" spans="1:9" x14ac:dyDescent="0.3">
      <c r="A127" s="7" t="s">
        <v>81</v>
      </c>
      <c r="B127" s="7">
        <v>13</v>
      </c>
      <c r="C127" s="7">
        <v>5</v>
      </c>
      <c r="D127" s="7">
        <v>11</v>
      </c>
      <c r="E127" s="7">
        <v>16</v>
      </c>
      <c r="F127" s="7" t="s">
        <v>358</v>
      </c>
      <c r="G127" s="11" t="s">
        <v>360</v>
      </c>
      <c r="H127" s="11">
        <v>3839</v>
      </c>
      <c r="I127" s="12" t="s">
        <v>134</v>
      </c>
    </row>
    <row r="128" spans="1:9" x14ac:dyDescent="0.3">
      <c r="A128" s="6" t="s">
        <v>361</v>
      </c>
      <c r="B128" s="6"/>
      <c r="C128" s="6">
        <v>6</v>
      </c>
      <c r="D128" s="6">
        <v>11</v>
      </c>
      <c r="E128" s="6">
        <v>18</v>
      </c>
      <c r="F128" s="6" t="s">
        <v>358</v>
      </c>
      <c r="G128" s="10" t="s">
        <v>362</v>
      </c>
      <c r="H128" s="10">
        <v>4444</v>
      </c>
      <c r="I128" s="10"/>
    </row>
    <row r="129" spans="1:9" x14ac:dyDescent="0.3">
      <c r="A129" s="7" t="s">
        <v>363</v>
      </c>
      <c r="B129" s="7">
        <v>1</v>
      </c>
      <c r="C129" s="7">
        <v>8</v>
      </c>
      <c r="D129" s="7">
        <v>14.5</v>
      </c>
      <c r="E129" s="7">
        <v>17</v>
      </c>
      <c r="F129" s="7" t="s">
        <v>364</v>
      </c>
      <c r="G129" s="11"/>
      <c r="H129" s="11">
        <v>5368</v>
      </c>
      <c r="I129" s="11"/>
    </row>
    <row r="130" spans="1:9" x14ac:dyDescent="0.3">
      <c r="A130" s="6" t="s">
        <v>365</v>
      </c>
      <c r="B130" s="6">
        <v>2</v>
      </c>
      <c r="C130" s="6">
        <v>6.3</v>
      </c>
      <c r="D130" s="6">
        <v>13.3</v>
      </c>
      <c r="E130" s="6">
        <v>18</v>
      </c>
      <c r="F130" s="6" t="s">
        <v>364</v>
      </c>
      <c r="G130" s="10"/>
      <c r="H130" s="10">
        <v>5643.0000000000009</v>
      </c>
      <c r="I130" s="10"/>
    </row>
    <row r="131" spans="1:9" x14ac:dyDescent="0.3">
      <c r="A131" s="7" t="s">
        <v>366</v>
      </c>
      <c r="B131" s="7">
        <v>10</v>
      </c>
      <c r="C131" s="7">
        <v>4.75</v>
      </c>
      <c r="D131" s="7">
        <v>8</v>
      </c>
      <c r="E131" s="7">
        <v>16</v>
      </c>
      <c r="F131" s="7" t="s">
        <v>364</v>
      </c>
      <c r="G131" s="11" t="s">
        <v>367</v>
      </c>
      <c r="H131" s="11">
        <v>3641</v>
      </c>
      <c r="I131" s="11"/>
    </row>
    <row r="132" spans="1:9" x14ac:dyDescent="0.3">
      <c r="A132" s="6" t="s">
        <v>368</v>
      </c>
      <c r="B132" s="6">
        <v>1</v>
      </c>
      <c r="C132" s="6">
        <v>7.9</v>
      </c>
      <c r="D132" s="6">
        <v>13.9</v>
      </c>
      <c r="E132" s="6">
        <v>22</v>
      </c>
      <c r="F132" s="6" t="s">
        <v>364</v>
      </c>
      <c r="G132" s="10" t="s">
        <v>369</v>
      </c>
      <c r="H132" s="10">
        <v>5368</v>
      </c>
      <c r="I132" s="10"/>
    </row>
    <row r="133" spans="1:9" x14ac:dyDescent="0.3">
      <c r="A133" s="7" t="s">
        <v>370</v>
      </c>
      <c r="B133" s="7">
        <v>1</v>
      </c>
      <c r="C133" s="7">
        <v>4.9000000000000004</v>
      </c>
      <c r="D133" s="7">
        <v>7.9</v>
      </c>
      <c r="E133" s="7">
        <v>12</v>
      </c>
      <c r="F133" s="7" t="s">
        <v>364</v>
      </c>
      <c r="G133" s="11" t="s">
        <v>371</v>
      </c>
      <c r="H133" s="11">
        <v>2530</v>
      </c>
      <c r="I133" s="11"/>
    </row>
    <row r="134" spans="1:9" x14ac:dyDescent="0.3">
      <c r="A134" s="6" t="s">
        <v>372</v>
      </c>
      <c r="B134" s="6">
        <v>20</v>
      </c>
      <c r="C134" s="6">
        <v>6.2</v>
      </c>
      <c r="D134" s="6">
        <v>7.2</v>
      </c>
      <c r="E134" s="6">
        <v>13</v>
      </c>
      <c r="F134" s="6" t="s">
        <v>364</v>
      </c>
      <c r="G134" s="10" t="s">
        <v>373</v>
      </c>
      <c r="H134" s="10">
        <v>2134</v>
      </c>
      <c r="I134" s="10"/>
    </row>
    <row r="135" spans="1:9" x14ac:dyDescent="0.3">
      <c r="A135" s="7" t="s">
        <v>374</v>
      </c>
      <c r="B135" s="7">
        <v>10</v>
      </c>
      <c r="C135" s="7">
        <v>6.9</v>
      </c>
      <c r="D135" s="7">
        <v>10.9</v>
      </c>
      <c r="E135" s="7">
        <v>17</v>
      </c>
      <c r="F135" s="7" t="s">
        <v>364</v>
      </c>
      <c r="G135" s="11" t="s">
        <v>375</v>
      </c>
      <c r="H135" s="11">
        <v>3762</v>
      </c>
      <c r="I135" s="11"/>
    </row>
    <row r="136" spans="1:9" x14ac:dyDescent="0.3">
      <c r="A136" s="6" t="s">
        <v>376</v>
      </c>
      <c r="B136" s="6">
        <v>10</v>
      </c>
      <c r="C136" s="6">
        <v>6.4</v>
      </c>
      <c r="D136" s="6">
        <v>13.4</v>
      </c>
      <c r="E136" s="6">
        <v>18</v>
      </c>
      <c r="F136" s="6" t="s">
        <v>364</v>
      </c>
      <c r="G136" s="10" t="s">
        <v>377</v>
      </c>
      <c r="H136" s="10">
        <v>4103</v>
      </c>
      <c r="I136" s="10"/>
    </row>
    <row r="137" spans="1:9" x14ac:dyDescent="0.3">
      <c r="A137" s="7" t="s">
        <v>83</v>
      </c>
      <c r="B137" s="7">
        <v>2</v>
      </c>
      <c r="C137" s="7">
        <v>6.5</v>
      </c>
      <c r="D137" s="7">
        <v>13.5</v>
      </c>
      <c r="E137" s="7">
        <v>18</v>
      </c>
      <c r="F137" s="7" t="s">
        <v>364</v>
      </c>
      <c r="G137" s="11" t="s">
        <v>378</v>
      </c>
      <c r="H137" s="11">
        <v>5643.0000000000009</v>
      </c>
      <c r="I137" s="12" t="s">
        <v>134</v>
      </c>
    </row>
    <row r="138" spans="1:9" x14ac:dyDescent="0.3">
      <c r="A138" s="6" t="s">
        <v>86</v>
      </c>
      <c r="B138" s="6">
        <v>10</v>
      </c>
      <c r="C138" s="6">
        <v>4.75</v>
      </c>
      <c r="D138" s="6">
        <v>7.9</v>
      </c>
      <c r="E138" s="6">
        <v>15</v>
      </c>
      <c r="F138" s="6" t="s">
        <v>364</v>
      </c>
      <c r="G138" s="10" t="s">
        <v>379</v>
      </c>
      <c r="H138" s="10">
        <v>2255</v>
      </c>
      <c r="I138" s="12" t="s">
        <v>134</v>
      </c>
    </row>
    <row r="139" spans="1:9" x14ac:dyDescent="0.3">
      <c r="A139" s="7" t="s">
        <v>380</v>
      </c>
      <c r="B139" s="7">
        <v>18</v>
      </c>
      <c r="C139" s="7">
        <v>5</v>
      </c>
      <c r="D139" s="7">
        <v>16</v>
      </c>
      <c r="E139" s="7">
        <v>22</v>
      </c>
      <c r="F139" s="7" t="s">
        <v>364</v>
      </c>
      <c r="G139" s="11" t="s">
        <v>381</v>
      </c>
      <c r="H139" s="11">
        <v>4279</v>
      </c>
      <c r="I139" s="11"/>
    </row>
    <row r="140" spans="1:9" x14ac:dyDescent="0.3">
      <c r="A140" s="6" t="s">
        <v>87</v>
      </c>
      <c r="B140" s="6">
        <v>10</v>
      </c>
      <c r="C140" s="6">
        <v>4.75</v>
      </c>
      <c r="D140" s="6">
        <v>7.9</v>
      </c>
      <c r="E140" s="6">
        <v>15</v>
      </c>
      <c r="F140" s="6" t="s">
        <v>382</v>
      </c>
      <c r="G140" s="10" t="s">
        <v>383</v>
      </c>
      <c r="H140" s="10">
        <v>2376</v>
      </c>
      <c r="I140" s="12" t="s">
        <v>134</v>
      </c>
    </row>
    <row r="141" spans="1:9" x14ac:dyDescent="0.3">
      <c r="A141" s="7" t="s">
        <v>90</v>
      </c>
      <c r="B141" s="7">
        <v>13</v>
      </c>
      <c r="C141" s="7">
        <v>5</v>
      </c>
      <c r="D141" s="7">
        <v>10</v>
      </c>
      <c r="E141" s="7">
        <v>18</v>
      </c>
      <c r="F141" s="7" t="s">
        <v>382</v>
      </c>
      <c r="G141" s="11" t="s">
        <v>384</v>
      </c>
      <c r="H141" s="11">
        <v>4224</v>
      </c>
      <c r="I141" s="12" t="s">
        <v>134</v>
      </c>
    </row>
    <row r="142" spans="1:9" x14ac:dyDescent="0.3">
      <c r="A142" s="6" t="s">
        <v>88</v>
      </c>
      <c r="B142" s="6">
        <v>10</v>
      </c>
      <c r="C142" s="6">
        <v>4.75</v>
      </c>
      <c r="D142" s="6">
        <v>7.9</v>
      </c>
      <c r="E142" s="6">
        <v>15</v>
      </c>
      <c r="F142" s="6" t="s">
        <v>382</v>
      </c>
      <c r="G142" s="10" t="s">
        <v>385</v>
      </c>
      <c r="H142" s="10">
        <v>2376</v>
      </c>
      <c r="I142" s="12" t="s">
        <v>134</v>
      </c>
    </row>
    <row r="143" spans="1:9" x14ac:dyDescent="0.3">
      <c r="A143" s="7" t="s">
        <v>93</v>
      </c>
      <c r="B143" s="7">
        <v>1</v>
      </c>
      <c r="C143" s="7">
        <v>7.9</v>
      </c>
      <c r="D143" s="7">
        <v>14.4</v>
      </c>
      <c r="E143" s="7">
        <v>18</v>
      </c>
      <c r="F143" s="7" t="s">
        <v>382</v>
      </c>
      <c r="G143" s="11" t="s">
        <v>386</v>
      </c>
      <c r="H143" s="11">
        <v>5060</v>
      </c>
      <c r="I143" s="12" t="s">
        <v>134</v>
      </c>
    </row>
    <row r="144" spans="1:9" x14ac:dyDescent="0.3">
      <c r="A144" s="6" t="s">
        <v>39</v>
      </c>
      <c r="B144" s="6">
        <v>7</v>
      </c>
      <c r="C144" s="6">
        <v>6.3</v>
      </c>
      <c r="D144" s="6">
        <v>9.3000000000000007</v>
      </c>
      <c r="E144" s="6">
        <v>14</v>
      </c>
      <c r="F144" s="6" t="s">
        <v>382</v>
      </c>
      <c r="G144" s="10" t="s">
        <v>387</v>
      </c>
      <c r="H144" s="10">
        <v>2200</v>
      </c>
      <c r="I144" s="12" t="s">
        <v>134</v>
      </c>
    </row>
    <row r="145" spans="1:9" x14ac:dyDescent="0.3">
      <c r="A145" s="7" t="s">
        <v>96</v>
      </c>
      <c r="B145" s="7">
        <v>10</v>
      </c>
      <c r="C145" s="7">
        <v>6</v>
      </c>
      <c r="D145" s="7">
        <v>9</v>
      </c>
      <c r="E145" s="7">
        <v>11</v>
      </c>
      <c r="F145" s="7" t="s">
        <v>382</v>
      </c>
      <c r="G145" s="11" t="s">
        <v>388</v>
      </c>
      <c r="H145" s="11">
        <v>3410</v>
      </c>
      <c r="I145" s="12" t="s">
        <v>134</v>
      </c>
    </row>
    <row r="146" spans="1:9" x14ac:dyDescent="0.3">
      <c r="A146" s="6" t="s">
        <v>98</v>
      </c>
      <c r="B146" s="6">
        <v>13</v>
      </c>
      <c r="C146" s="6">
        <v>6.25</v>
      </c>
      <c r="D146" s="6">
        <v>11</v>
      </c>
      <c r="E146" s="6">
        <v>20</v>
      </c>
      <c r="F146" s="6" t="s">
        <v>382</v>
      </c>
      <c r="G146" s="10" t="s">
        <v>389</v>
      </c>
      <c r="H146" s="10">
        <v>4653</v>
      </c>
      <c r="I146" s="12" t="s">
        <v>134</v>
      </c>
    </row>
    <row r="147" spans="1:9" x14ac:dyDescent="0.3">
      <c r="A147" s="7" t="s">
        <v>100</v>
      </c>
      <c r="B147" s="7">
        <v>1</v>
      </c>
      <c r="C147" s="7">
        <v>5</v>
      </c>
      <c r="D147" s="7">
        <v>11</v>
      </c>
      <c r="E147" s="7">
        <v>15.5</v>
      </c>
      <c r="F147" s="7" t="s">
        <v>382</v>
      </c>
      <c r="G147" s="11" t="s">
        <v>390</v>
      </c>
      <c r="H147" s="11">
        <v>3850</v>
      </c>
      <c r="I147" s="12" t="s">
        <v>134</v>
      </c>
    </row>
    <row r="148" spans="1:9" x14ac:dyDescent="0.3">
      <c r="A148" s="6" t="s">
        <v>391</v>
      </c>
      <c r="B148" s="6"/>
      <c r="C148" s="6">
        <v>6</v>
      </c>
      <c r="D148" s="6">
        <v>9</v>
      </c>
      <c r="E148" s="6">
        <v>13</v>
      </c>
      <c r="F148" s="6" t="s">
        <v>206</v>
      </c>
      <c r="G148" s="10" t="s">
        <v>392</v>
      </c>
      <c r="H148" s="10">
        <v>3542</v>
      </c>
      <c r="I148" s="10"/>
    </row>
    <row r="149" spans="1:9" x14ac:dyDescent="0.3">
      <c r="A149" s="7" t="s">
        <v>101</v>
      </c>
      <c r="B149" s="7">
        <v>1</v>
      </c>
      <c r="C149" s="7">
        <v>5</v>
      </c>
      <c r="D149" s="7">
        <v>11</v>
      </c>
      <c r="E149" s="7">
        <v>15.5</v>
      </c>
      <c r="F149" s="7" t="s">
        <v>206</v>
      </c>
      <c r="G149" s="11" t="s">
        <v>393</v>
      </c>
      <c r="H149" s="11">
        <v>4070</v>
      </c>
      <c r="I149" s="12" t="s">
        <v>134</v>
      </c>
    </row>
    <row r="150" spans="1:9" x14ac:dyDescent="0.3">
      <c r="A150" s="6" t="s">
        <v>104</v>
      </c>
      <c r="B150" s="6">
        <v>13</v>
      </c>
      <c r="C150" s="6">
        <v>6</v>
      </c>
      <c r="D150" s="6">
        <v>9</v>
      </c>
      <c r="E150" s="6">
        <v>13</v>
      </c>
      <c r="F150" s="6" t="s">
        <v>206</v>
      </c>
      <c r="G150" s="10" t="s">
        <v>394</v>
      </c>
      <c r="H150" s="10">
        <v>3047</v>
      </c>
      <c r="I150" s="12" t="s">
        <v>134</v>
      </c>
    </row>
    <row r="151" spans="1:9" x14ac:dyDescent="0.3">
      <c r="A151" s="7" t="s">
        <v>82</v>
      </c>
      <c r="B151" s="7">
        <v>13</v>
      </c>
      <c r="C151" s="7">
        <v>5</v>
      </c>
      <c r="D151" s="7">
        <v>11</v>
      </c>
      <c r="E151" s="7">
        <v>16</v>
      </c>
      <c r="F151" s="7" t="s">
        <v>206</v>
      </c>
      <c r="G151" s="11" t="s">
        <v>395</v>
      </c>
      <c r="H151" s="11">
        <v>4070</v>
      </c>
      <c r="I151" s="12" t="s">
        <v>134</v>
      </c>
    </row>
    <row r="152" spans="1:9" x14ac:dyDescent="0.3">
      <c r="A152" s="6" t="s">
        <v>396</v>
      </c>
      <c r="B152" s="6">
        <v>7</v>
      </c>
      <c r="C152" s="6">
        <v>6</v>
      </c>
      <c r="D152" s="6">
        <v>7</v>
      </c>
      <c r="E152" s="6">
        <v>14</v>
      </c>
      <c r="F152" s="6" t="s">
        <v>142</v>
      </c>
      <c r="G152" s="10" t="s">
        <v>397</v>
      </c>
      <c r="H152" s="10">
        <v>2530</v>
      </c>
      <c r="I152" s="10"/>
    </row>
    <row r="153" spans="1:9" x14ac:dyDescent="0.3">
      <c r="A153" s="7" t="s">
        <v>398</v>
      </c>
      <c r="B153" s="7"/>
      <c r="C153" s="7">
        <v>6</v>
      </c>
      <c r="D153" s="7">
        <v>6</v>
      </c>
      <c r="E153" s="7">
        <v>16</v>
      </c>
      <c r="F153" s="7" t="s">
        <v>142</v>
      </c>
      <c r="G153" s="11" t="s">
        <v>399</v>
      </c>
      <c r="H153" s="11">
        <v>3542</v>
      </c>
      <c r="I153" s="11"/>
    </row>
    <row r="154" spans="1:9" x14ac:dyDescent="0.3">
      <c r="A154" s="6" t="s">
        <v>400</v>
      </c>
      <c r="B154" s="6">
        <v>8</v>
      </c>
      <c r="C154" s="6">
        <v>6</v>
      </c>
      <c r="D154" s="6">
        <v>9</v>
      </c>
      <c r="E154" s="6">
        <v>18</v>
      </c>
      <c r="F154" s="6" t="s">
        <v>142</v>
      </c>
      <c r="G154" s="10" t="s">
        <v>401</v>
      </c>
      <c r="H154" s="10">
        <v>4279</v>
      </c>
      <c r="I154" s="10"/>
    </row>
    <row r="155" spans="1:9" x14ac:dyDescent="0.3">
      <c r="A155" s="7" t="s">
        <v>402</v>
      </c>
      <c r="B155" s="7"/>
      <c r="C155" s="7">
        <v>4.9000000000000004</v>
      </c>
      <c r="D155" s="7">
        <v>9.5</v>
      </c>
      <c r="E155" s="7">
        <v>13</v>
      </c>
      <c r="F155" s="7" t="s">
        <v>142</v>
      </c>
      <c r="G155" s="11"/>
      <c r="H155" s="11">
        <v>5302</v>
      </c>
      <c r="I155" s="11"/>
    </row>
    <row r="156" spans="1:9" x14ac:dyDescent="0.3">
      <c r="A156" s="6" t="s">
        <v>403</v>
      </c>
      <c r="B156" s="6">
        <v>10</v>
      </c>
      <c r="C156" s="6">
        <v>9</v>
      </c>
      <c r="D156" s="6">
        <v>9</v>
      </c>
      <c r="E156" s="6">
        <v>20</v>
      </c>
      <c r="F156" s="6" t="s">
        <v>404</v>
      </c>
      <c r="G156" s="10" t="s">
        <v>405</v>
      </c>
      <c r="H156" s="10">
        <v>6050.0000000000009</v>
      </c>
      <c r="I156" s="10"/>
    </row>
    <row r="157" spans="1:9" x14ac:dyDescent="0.3">
      <c r="A157" s="7" t="s">
        <v>35</v>
      </c>
      <c r="B157" s="7">
        <v>10</v>
      </c>
      <c r="C157" s="7">
        <v>5.6</v>
      </c>
      <c r="D157" s="7">
        <v>5.6</v>
      </c>
      <c r="E157" s="7">
        <v>16</v>
      </c>
      <c r="F157" s="7" t="s">
        <v>406</v>
      </c>
      <c r="G157" s="11" t="s">
        <v>407</v>
      </c>
      <c r="H157" s="11">
        <v>2783</v>
      </c>
      <c r="I157" s="12" t="s">
        <v>134</v>
      </c>
    </row>
    <row r="158" spans="1:9" x14ac:dyDescent="0.3">
      <c r="A158" s="6" t="s">
        <v>408</v>
      </c>
      <c r="B158" s="6"/>
      <c r="C158" s="6">
        <v>6</v>
      </c>
      <c r="D158" s="6">
        <v>13.8</v>
      </c>
      <c r="E158" s="6">
        <v>22</v>
      </c>
      <c r="F158" s="6" t="s">
        <v>406</v>
      </c>
      <c r="G158" s="10" t="s">
        <v>409</v>
      </c>
      <c r="H158" s="10">
        <v>5423</v>
      </c>
      <c r="I158" s="10"/>
    </row>
    <row r="159" spans="1:9" x14ac:dyDescent="0.3">
      <c r="A159" s="7" t="s">
        <v>91</v>
      </c>
      <c r="B159" s="7">
        <v>13</v>
      </c>
      <c r="C159" s="7">
        <v>5</v>
      </c>
      <c r="D159" s="7">
        <v>10</v>
      </c>
      <c r="E159" s="7">
        <v>18</v>
      </c>
      <c r="F159" s="7" t="s">
        <v>406</v>
      </c>
      <c r="G159" s="11" t="s">
        <v>410</v>
      </c>
      <c r="H159" s="11">
        <v>4279</v>
      </c>
      <c r="I159" s="12" t="s">
        <v>134</v>
      </c>
    </row>
    <row r="160" spans="1:9" x14ac:dyDescent="0.3">
      <c r="A160" s="6" t="s">
        <v>30</v>
      </c>
      <c r="B160" s="6">
        <v>1</v>
      </c>
      <c r="C160" s="6">
        <v>6</v>
      </c>
      <c r="D160" s="6">
        <v>9</v>
      </c>
      <c r="E160" s="6">
        <v>25</v>
      </c>
      <c r="F160" s="6" t="s">
        <v>406</v>
      </c>
      <c r="G160" s="10" t="s">
        <v>133</v>
      </c>
      <c r="H160" s="10">
        <v>3762</v>
      </c>
      <c r="I160" s="12" t="s">
        <v>134</v>
      </c>
    </row>
    <row r="161" spans="1:9" x14ac:dyDescent="0.3">
      <c r="A161" s="7" t="s">
        <v>32</v>
      </c>
      <c r="B161" s="7">
        <v>10</v>
      </c>
      <c r="C161" s="7">
        <v>6</v>
      </c>
      <c r="D161" s="7">
        <v>9</v>
      </c>
      <c r="E161" s="7">
        <v>20</v>
      </c>
      <c r="F161" s="7" t="s">
        <v>404</v>
      </c>
      <c r="G161" s="11" t="s">
        <v>405</v>
      </c>
      <c r="H161" s="11">
        <v>3542</v>
      </c>
      <c r="I161" s="12" t="s">
        <v>134</v>
      </c>
    </row>
    <row r="162" spans="1:9" x14ac:dyDescent="0.3">
      <c r="A162" s="6" t="s">
        <v>33</v>
      </c>
      <c r="B162" s="6">
        <v>10</v>
      </c>
      <c r="C162" s="6">
        <v>6</v>
      </c>
      <c r="D162" s="6">
        <v>9</v>
      </c>
      <c r="E162" s="6">
        <v>20</v>
      </c>
      <c r="F162" s="6" t="s">
        <v>406</v>
      </c>
      <c r="G162" s="10" t="s">
        <v>135</v>
      </c>
      <c r="H162" s="10">
        <v>3542</v>
      </c>
      <c r="I162" s="12" t="s">
        <v>134</v>
      </c>
    </row>
    <row r="163" spans="1:9" x14ac:dyDescent="0.3">
      <c r="A163" s="7" t="s">
        <v>411</v>
      </c>
      <c r="B163" s="7"/>
      <c r="C163" s="7">
        <v>6</v>
      </c>
      <c r="D163" s="7">
        <v>9</v>
      </c>
      <c r="E163" s="7">
        <v>17</v>
      </c>
      <c r="F163" s="7" t="s">
        <v>142</v>
      </c>
      <c r="G163" s="11" t="s">
        <v>412</v>
      </c>
      <c r="H163" s="11">
        <v>5060</v>
      </c>
      <c r="I163" s="11"/>
    </row>
    <row r="164" spans="1:9" x14ac:dyDescent="0.3">
      <c r="A164" s="6" t="s">
        <v>413</v>
      </c>
      <c r="B164" s="6">
        <v>9</v>
      </c>
      <c r="C164" s="6">
        <v>6</v>
      </c>
      <c r="D164" s="6">
        <v>8.15</v>
      </c>
      <c r="E164" s="6">
        <v>15</v>
      </c>
      <c r="F164" s="6" t="s">
        <v>142</v>
      </c>
      <c r="G164" s="10" t="s">
        <v>414</v>
      </c>
      <c r="H164" s="10">
        <v>3542</v>
      </c>
      <c r="I164" s="10"/>
    </row>
    <row r="165" spans="1:9" x14ac:dyDescent="0.3">
      <c r="A165" s="7" t="s">
        <v>106</v>
      </c>
      <c r="B165" s="7">
        <v>10</v>
      </c>
      <c r="C165" s="7">
        <v>7</v>
      </c>
      <c r="D165" s="7">
        <v>10.5</v>
      </c>
      <c r="E165" s="7">
        <v>17</v>
      </c>
      <c r="F165" s="7" t="s">
        <v>142</v>
      </c>
      <c r="G165" s="11" t="s">
        <v>415</v>
      </c>
      <c r="H165" s="11">
        <v>3762</v>
      </c>
      <c r="I165" s="12" t="s">
        <v>134</v>
      </c>
    </row>
    <row r="166" spans="1:9" x14ac:dyDescent="0.3">
      <c r="A166" s="6" t="s">
        <v>41</v>
      </c>
      <c r="B166" s="6">
        <v>15</v>
      </c>
      <c r="C166" s="6">
        <v>6.3</v>
      </c>
      <c r="D166" s="6">
        <v>16</v>
      </c>
      <c r="E166" s="6">
        <v>22</v>
      </c>
      <c r="F166" s="6" t="s">
        <v>142</v>
      </c>
      <c r="G166" s="10" t="s">
        <v>416</v>
      </c>
      <c r="H166" s="10">
        <v>5643.0000000000009</v>
      </c>
      <c r="I166" s="12" t="s">
        <v>134</v>
      </c>
    </row>
    <row r="167" spans="1:9" x14ac:dyDescent="0.3">
      <c r="A167" s="7" t="s">
        <v>68</v>
      </c>
      <c r="B167" s="7">
        <v>9</v>
      </c>
      <c r="C167" s="7">
        <v>6</v>
      </c>
      <c r="D167" s="7">
        <v>8</v>
      </c>
      <c r="E167" s="7">
        <v>17</v>
      </c>
      <c r="F167" s="7" t="s">
        <v>142</v>
      </c>
      <c r="G167" s="11" t="s">
        <v>417</v>
      </c>
      <c r="H167" s="11">
        <v>4268</v>
      </c>
      <c r="I167" s="12" t="s">
        <v>134</v>
      </c>
    </row>
    <row r="168" spans="1:9" x14ac:dyDescent="0.3">
      <c r="A168" s="6" t="s">
        <v>76</v>
      </c>
      <c r="B168" s="6">
        <v>9</v>
      </c>
      <c r="C168" s="6">
        <v>6.3</v>
      </c>
      <c r="D168" s="6">
        <v>8</v>
      </c>
      <c r="E168" s="6">
        <v>14</v>
      </c>
      <c r="F168" s="6" t="s">
        <v>142</v>
      </c>
      <c r="G168" s="10" t="s">
        <v>418</v>
      </c>
      <c r="H168" s="10">
        <v>3542</v>
      </c>
      <c r="I168" s="12" t="s">
        <v>134</v>
      </c>
    </row>
    <row r="169" spans="1:9" x14ac:dyDescent="0.3">
      <c r="A169" s="7" t="s">
        <v>74</v>
      </c>
      <c r="B169" s="7">
        <v>13</v>
      </c>
      <c r="C169" s="7">
        <v>6.5</v>
      </c>
      <c r="D169" s="7">
        <v>8</v>
      </c>
      <c r="E169" s="7">
        <v>17</v>
      </c>
      <c r="F169" s="7" t="s">
        <v>142</v>
      </c>
      <c r="G169" s="11" t="s">
        <v>419</v>
      </c>
      <c r="H169" s="11">
        <v>3542</v>
      </c>
      <c r="I169" s="12" t="s">
        <v>134</v>
      </c>
    </row>
    <row r="170" spans="1:9" x14ac:dyDescent="0.3">
      <c r="A170" s="6" t="s">
        <v>420</v>
      </c>
      <c r="B170" s="6">
        <v>9</v>
      </c>
      <c r="C170" s="6">
        <v>6.3</v>
      </c>
      <c r="D170" s="6">
        <v>12.3</v>
      </c>
      <c r="E170" s="6">
        <v>19</v>
      </c>
      <c r="F170" s="6" t="s">
        <v>156</v>
      </c>
      <c r="G170" s="10" t="s">
        <v>421</v>
      </c>
      <c r="H170" s="10">
        <v>5060</v>
      </c>
      <c r="I170" s="10"/>
    </row>
    <row r="171" spans="1:9" x14ac:dyDescent="0.3">
      <c r="A171" s="7" t="s">
        <v>420</v>
      </c>
      <c r="B171" s="7">
        <v>9</v>
      </c>
      <c r="C171" s="7">
        <v>6.3</v>
      </c>
      <c r="D171" s="7">
        <v>12.3</v>
      </c>
      <c r="E171" s="7">
        <v>19</v>
      </c>
      <c r="F171" s="7" t="s">
        <v>156</v>
      </c>
      <c r="G171" s="11" t="s">
        <v>169</v>
      </c>
      <c r="H171" s="11">
        <v>5060</v>
      </c>
      <c r="I171" s="11"/>
    </row>
    <row r="172" spans="1:9" x14ac:dyDescent="0.3">
      <c r="A172" s="6" t="s">
        <v>42</v>
      </c>
      <c r="B172" s="6">
        <v>15</v>
      </c>
      <c r="C172" s="6">
        <v>6.3</v>
      </c>
      <c r="D172" s="6">
        <v>16</v>
      </c>
      <c r="E172" s="6">
        <v>22</v>
      </c>
      <c r="F172" s="6" t="s">
        <v>156</v>
      </c>
      <c r="G172" s="10" t="s">
        <v>422</v>
      </c>
      <c r="H172" s="10">
        <v>5643.0000000000009</v>
      </c>
      <c r="I172" s="12" t="s">
        <v>134</v>
      </c>
    </row>
    <row r="173" spans="1:9" x14ac:dyDescent="0.3">
      <c r="A173" s="7" t="s">
        <v>92</v>
      </c>
      <c r="B173" s="7">
        <v>13</v>
      </c>
      <c r="C173" s="7">
        <v>5</v>
      </c>
      <c r="D173" s="7">
        <v>10</v>
      </c>
      <c r="E173" s="7">
        <v>18</v>
      </c>
      <c r="F173" s="7" t="s">
        <v>156</v>
      </c>
      <c r="G173" s="11" t="s">
        <v>423</v>
      </c>
      <c r="H173" s="11">
        <v>4279</v>
      </c>
      <c r="I173" s="12" t="s">
        <v>134</v>
      </c>
    </row>
    <row r="174" spans="1:9" x14ac:dyDescent="0.3">
      <c r="A174" s="6" t="s">
        <v>424</v>
      </c>
      <c r="B174" s="6">
        <v>13</v>
      </c>
      <c r="C174" s="6">
        <v>6.3</v>
      </c>
      <c r="D174" s="6">
        <v>8</v>
      </c>
      <c r="E174" s="6">
        <v>13</v>
      </c>
      <c r="F174" s="6" t="s">
        <v>156</v>
      </c>
      <c r="G174" s="10" t="s">
        <v>425</v>
      </c>
      <c r="H174" s="10">
        <v>4070</v>
      </c>
      <c r="I174" s="10"/>
    </row>
    <row r="175" spans="1:9" x14ac:dyDescent="0.3">
      <c r="A175" s="7" t="s">
        <v>426</v>
      </c>
      <c r="B175" s="7">
        <v>15</v>
      </c>
      <c r="C175" s="7">
        <v>6.3</v>
      </c>
      <c r="D175" s="7">
        <v>12.45</v>
      </c>
      <c r="E175" s="7">
        <v>22</v>
      </c>
      <c r="F175" s="7" t="s">
        <v>156</v>
      </c>
      <c r="G175" s="11" t="s">
        <v>169</v>
      </c>
      <c r="H175" s="11">
        <v>5731.0000000000009</v>
      </c>
      <c r="I175" s="11"/>
    </row>
    <row r="176" spans="1:9" x14ac:dyDescent="0.3">
      <c r="A176" s="6" t="s">
        <v>427</v>
      </c>
      <c r="B176" s="6">
        <v>13</v>
      </c>
      <c r="C176" s="6">
        <v>6</v>
      </c>
      <c r="D176" s="6">
        <v>10</v>
      </c>
      <c r="E176" s="6">
        <v>18</v>
      </c>
      <c r="F176" s="6" t="s">
        <v>156</v>
      </c>
      <c r="G176" s="10" t="s">
        <v>428</v>
      </c>
      <c r="H176" s="10">
        <v>4070</v>
      </c>
      <c r="I176" s="10"/>
    </row>
    <row r="177" spans="1:9" x14ac:dyDescent="0.3">
      <c r="A177" s="7" t="s">
        <v>429</v>
      </c>
      <c r="B177" s="7">
        <v>14</v>
      </c>
      <c r="C177" s="7">
        <v>5</v>
      </c>
      <c r="D177" s="7">
        <v>8</v>
      </c>
      <c r="E177" s="7">
        <v>15</v>
      </c>
      <c r="F177" s="7" t="s">
        <v>156</v>
      </c>
      <c r="G177" s="11" t="s">
        <v>430</v>
      </c>
      <c r="H177" s="11">
        <v>3542</v>
      </c>
      <c r="I177" s="11"/>
    </row>
    <row r="178" spans="1:9" x14ac:dyDescent="0.3">
      <c r="A178" s="6" t="s">
        <v>431</v>
      </c>
      <c r="B178" s="6">
        <v>3</v>
      </c>
      <c r="C178" s="6">
        <v>5</v>
      </c>
      <c r="D178" s="6">
        <v>8</v>
      </c>
      <c r="E178" s="6">
        <v>17</v>
      </c>
      <c r="F178" s="6" t="s">
        <v>156</v>
      </c>
      <c r="G178" s="10" t="s">
        <v>432</v>
      </c>
      <c r="H178" s="10">
        <v>3542</v>
      </c>
      <c r="I178" s="10"/>
    </row>
    <row r="179" spans="1:9" x14ac:dyDescent="0.3">
      <c r="A179" s="7" t="s">
        <v>433</v>
      </c>
      <c r="B179" s="7">
        <v>20</v>
      </c>
      <c r="C179" s="7">
        <v>5</v>
      </c>
      <c r="D179" s="7">
        <v>8</v>
      </c>
      <c r="E179" s="7">
        <v>18</v>
      </c>
      <c r="F179" s="7" t="s">
        <v>262</v>
      </c>
      <c r="G179" s="11" t="s">
        <v>434</v>
      </c>
      <c r="H179" s="11">
        <v>3047</v>
      </c>
      <c r="I179" s="11"/>
    </row>
    <row r="180" spans="1:9" x14ac:dyDescent="0.3">
      <c r="A180" s="6" t="s">
        <v>435</v>
      </c>
      <c r="B180" s="6">
        <v>10</v>
      </c>
      <c r="C180" s="6">
        <v>6.5</v>
      </c>
      <c r="D180" s="6">
        <v>13</v>
      </c>
      <c r="E180" s="6">
        <v>23</v>
      </c>
      <c r="F180" s="6" t="s">
        <v>262</v>
      </c>
      <c r="G180" s="10" t="s">
        <v>436</v>
      </c>
      <c r="H180" s="10">
        <v>4070</v>
      </c>
      <c r="I180" s="10"/>
    </row>
    <row r="181" spans="1:9" x14ac:dyDescent="0.3">
      <c r="A181" s="7" t="s">
        <v>107</v>
      </c>
      <c r="B181" s="7">
        <v>10</v>
      </c>
      <c r="C181" s="7">
        <v>7</v>
      </c>
      <c r="D181" s="7">
        <v>10.5</v>
      </c>
      <c r="E181" s="7">
        <v>17</v>
      </c>
      <c r="F181" s="7" t="s">
        <v>262</v>
      </c>
      <c r="G181" s="11" t="s">
        <v>437</v>
      </c>
      <c r="H181" s="11">
        <v>6083.0000000000009</v>
      </c>
      <c r="I181" s="12" t="s">
        <v>134</v>
      </c>
    </row>
    <row r="182" spans="1:9" x14ac:dyDescent="0.3">
      <c r="A182" s="6" t="s">
        <v>66</v>
      </c>
      <c r="B182" s="6">
        <v>1</v>
      </c>
      <c r="C182" s="6">
        <v>6.5</v>
      </c>
      <c r="D182" s="6">
        <v>16</v>
      </c>
      <c r="E182" s="6">
        <v>16</v>
      </c>
      <c r="F182" s="6" t="s">
        <v>262</v>
      </c>
      <c r="G182" s="10" t="s">
        <v>438</v>
      </c>
      <c r="H182" s="10">
        <v>5181</v>
      </c>
      <c r="I182" s="12" t="s">
        <v>134</v>
      </c>
    </row>
    <row r="183" spans="1:9" x14ac:dyDescent="0.3">
      <c r="A183" s="7" t="s">
        <v>439</v>
      </c>
      <c r="B183" s="7">
        <v>9</v>
      </c>
      <c r="C183" s="7">
        <v>6</v>
      </c>
      <c r="D183" s="7">
        <v>8</v>
      </c>
      <c r="E183" s="7">
        <v>19</v>
      </c>
      <c r="F183" s="7" t="s">
        <v>262</v>
      </c>
      <c r="G183" s="11" t="s">
        <v>440</v>
      </c>
      <c r="H183" s="11">
        <v>4070</v>
      </c>
      <c r="I183" s="11"/>
    </row>
    <row r="184" spans="1:9" x14ac:dyDescent="0.3">
      <c r="A184" s="6" t="s">
        <v>441</v>
      </c>
      <c r="B184" s="6">
        <v>9</v>
      </c>
      <c r="C184" s="6">
        <v>6</v>
      </c>
      <c r="D184" s="6">
        <v>10</v>
      </c>
      <c r="E184" s="6">
        <v>24</v>
      </c>
      <c r="F184" s="6" t="s">
        <v>262</v>
      </c>
      <c r="G184" s="10" t="s">
        <v>442</v>
      </c>
      <c r="H184" s="10">
        <v>4950</v>
      </c>
      <c r="I184" s="10"/>
    </row>
    <row r="185" spans="1:9" x14ac:dyDescent="0.3">
      <c r="A185" s="7" t="s">
        <v>441</v>
      </c>
      <c r="B185" s="7"/>
      <c r="C185" s="7">
        <v>6</v>
      </c>
      <c r="D185" s="7">
        <v>10</v>
      </c>
      <c r="E185" s="7">
        <v>24</v>
      </c>
      <c r="F185" s="7" t="s">
        <v>262</v>
      </c>
      <c r="G185" s="11" t="s">
        <v>443</v>
      </c>
      <c r="H185" s="11">
        <v>4950</v>
      </c>
      <c r="I185" s="11"/>
    </row>
    <row r="186" spans="1:9" x14ac:dyDescent="0.3">
      <c r="A186" s="6" t="s">
        <v>70</v>
      </c>
      <c r="B186" s="6">
        <v>15</v>
      </c>
      <c r="C186" s="6">
        <v>6</v>
      </c>
      <c r="D186" s="6">
        <v>13.8</v>
      </c>
      <c r="E186" s="6">
        <v>22</v>
      </c>
      <c r="F186" s="6" t="s">
        <v>132</v>
      </c>
      <c r="G186" s="10" t="s">
        <v>444</v>
      </c>
      <c r="H186" s="10">
        <v>5423</v>
      </c>
      <c r="I186" s="12" t="s">
        <v>134</v>
      </c>
    </row>
    <row r="187" spans="1:9" x14ac:dyDescent="0.3">
      <c r="A187" s="7" t="s">
        <v>445</v>
      </c>
      <c r="B187" s="7">
        <v>21</v>
      </c>
      <c r="C187" s="7">
        <v>6.5</v>
      </c>
      <c r="D187" s="7">
        <v>7.5</v>
      </c>
      <c r="E187" s="7">
        <v>13</v>
      </c>
      <c r="F187" s="7" t="s">
        <v>194</v>
      </c>
      <c r="G187" s="11" t="s">
        <v>446</v>
      </c>
      <c r="H187" s="11">
        <v>3861</v>
      </c>
      <c r="I187" s="11"/>
    </row>
    <row r="188" spans="1:9" x14ac:dyDescent="0.3">
      <c r="A188" s="6" t="s">
        <v>447</v>
      </c>
      <c r="B188" s="6">
        <v>20</v>
      </c>
      <c r="C188" s="6">
        <v>6.5</v>
      </c>
      <c r="D188" s="6">
        <v>7.5</v>
      </c>
      <c r="E188" s="6">
        <v>13</v>
      </c>
      <c r="F188" s="6" t="s">
        <v>194</v>
      </c>
      <c r="G188" s="10" t="s">
        <v>448</v>
      </c>
      <c r="H188" s="10">
        <v>3729</v>
      </c>
      <c r="I188" s="10"/>
    </row>
    <row r="189" spans="1:9" x14ac:dyDescent="0.3">
      <c r="A189" s="7" t="s">
        <v>449</v>
      </c>
      <c r="B189" s="7">
        <v>20</v>
      </c>
      <c r="C189" s="7">
        <v>6.5</v>
      </c>
      <c r="D189" s="7">
        <v>7.5</v>
      </c>
      <c r="E189" s="7">
        <v>16</v>
      </c>
      <c r="F189" s="7" t="s">
        <v>194</v>
      </c>
      <c r="G189" s="11" t="s">
        <v>450</v>
      </c>
      <c r="H189" s="11">
        <v>3729</v>
      </c>
      <c r="I189" s="11"/>
    </row>
    <row r="190" spans="1:9" x14ac:dyDescent="0.3">
      <c r="A190" s="6" t="s">
        <v>451</v>
      </c>
      <c r="B190" s="6">
        <v>10</v>
      </c>
      <c r="C190" s="6">
        <v>4.7</v>
      </c>
      <c r="D190" s="6">
        <v>8</v>
      </c>
      <c r="E190" s="6">
        <v>14</v>
      </c>
      <c r="F190" s="6" t="s">
        <v>194</v>
      </c>
      <c r="G190" s="10" t="s">
        <v>452</v>
      </c>
      <c r="H190" s="10">
        <v>3465</v>
      </c>
      <c r="I190" s="10"/>
    </row>
    <row r="191" spans="1:9" x14ac:dyDescent="0.3">
      <c r="A191" s="7" t="s">
        <v>453</v>
      </c>
      <c r="B191" s="7">
        <v>10</v>
      </c>
      <c r="C191" s="7">
        <v>6</v>
      </c>
      <c r="D191" s="7">
        <v>6.5</v>
      </c>
      <c r="E191" s="7">
        <v>13</v>
      </c>
      <c r="F191" s="7" t="s">
        <v>194</v>
      </c>
      <c r="G191" s="11" t="s">
        <v>454</v>
      </c>
      <c r="H191" s="11">
        <v>3839</v>
      </c>
      <c r="I191" s="11"/>
    </row>
    <row r="192" spans="1:9" x14ac:dyDescent="0.3">
      <c r="A192" s="6" t="s">
        <v>455</v>
      </c>
      <c r="B192" s="6">
        <v>11</v>
      </c>
      <c r="C192" s="6">
        <v>5</v>
      </c>
      <c r="D192" s="6">
        <v>8</v>
      </c>
      <c r="E192" s="6">
        <v>11</v>
      </c>
      <c r="F192" s="6" t="s">
        <v>206</v>
      </c>
      <c r="G192" s="10" t="s">
        <v>456</v>
      </c>
      <c r="H192" s="10">
        <v>3278</v>
      </c>
      <c r="I192" s="10"/>
    </row>
    <row r="193" spans="1:9" x14ac:dyDescent="0.3">
      <c r="A193" s="7" t="s">
        <v>97</v>
      </c>
      <c r="B193" s="7">
        <v>20</v>
      </c>
      <c r="C193" s="7">
        <v>6</v>
      </c>
      <c r="D193" s="7">
        <v>9</v>
      </c>
      <c r="E193" s="7">
        <v>12</v>
      </c>
      <c r="F193" s="7" t="s">
        <v>206</v>
      </c>
      <c r="G193" s="11" t="s">
        <v>457</v>
      </c>
      <c r="H193" s="11">
        <v>2530</v>
      </c>
      <c r="I193" s="12" t="s">
        <v>134</v>
      </c>
    </row>
    <row r="194" spans="1:9" x14ac:dyDescent="0.3">
      <c r="A194" s="6" t="s">
        <v>97</v>
      </c>
      <c r="B194" s="6">
        <v>10</v>
      </c>
      <c r="C194" s="6">
        <v>6</v>
      </c>
      <c r="D194" s="6">
        <v>9</v>
      </c>
      <c r="E194" s="6">
        <v>11</v>
      </c>
      <c r="F194" s="6" t="s">
        <v>206</v>
      </c>
      <c r="G194" s="10" t="s">
        <v>458</v>
      </c>
      <c r="H194" s="10">
        <v>2530</v>
      </c>
      <c r="I194" s="12" t="s">
        <v>134</v>
      </c>
    </row>
    <row r="195" spans="1:9" x14ac:dyDescent="0.3">
      <c r="A195" s="7" t="s">
        <v>459</v>
      </c>
      <c r="B195" s="7">
        <v>7</v>
      </c>
      <c r="C195" s="7">
        <v>5.9</v>
      </c>
      <c r="D195" s="7">
        <v>5.9</v>
      </c>
      <c r="E195" s="7">
        <v>15</v>
      </c>
      <c r="F195" s="7" t="s">
        <v>225</v>
      </c>
      <c r="G195" s="11" t="s">
        <v>460</v>
      </c>
      <c r="H195" s="11">
        <v>2024</v>
      </c>
      <c r="I195" s="11"/>
    </row>
    <row r="196" spans="1:9" x14ac:dyDescent="0.3">
      <c r="A196" s="6" t="s">
        <v>461</v>
      </c>
      <c r="B196" s="6">
        <v>9</v>
      </c>
      <c r="C196" s="6">
        <v>6.3</v>
      </c>
      <c r="D196" s="6">
        <v>8</v>
      </c>
      <c r="E196" s="6">
        <v>18</v>
      </c>
      <c r="F196" s="6" t="s">
        <v>225</v>
      </c>
      <c r="G196" s="10" t="s">
        <v>462</v>
      </c>
      <c r="H196" s="10">
        <v>4268</v>
      </c>
      <c r="I196" s="10"/>
    </row>
    <row r="197" spans="1:9" x14ac:dyDescent="0.3">
      <c r="A197" s="7" t="s">
        <v>463</v>
      </c>
      <c r="B197" s="7">
        <v>1</v>
      </c>
      <c r="C197" s="7">
        <v>6.3</v>
      </c>
      <c r="D197" s="7">
        <v>6.3</v>
      </c>
      <c r="E197" s="7">
        <v>17</v>
      </c>
      <c r="F197" s="7" t="s">
        <v>225</v>
      </c>
      <c r="G197" s="11" t="s">
        <v>464</v>
      </c>
      <c r="H197" s="11">
        <v>2255</v>
      </c>
      <c r="I197" s="11"/>
    </row>
    <row r="198" spans="1:9" x14ac:dyDescent="0.3">
      <c r="A198" s="6" t="s">
        <v>465</v>
      </c>
      <c r="B198" s="6">
        <v>3</v>
      </c>
      <c r="C198" s="6">
        <v>5</v>
      </c>
      <c r="D198" s="6">
        <v>8</v>
      </c>
      <c r="E198" s="6">
        <v>13</v>
      </c>
      <c r="F198" s="6" t="s">
        <v>225</v>
      </c>
      <c r="G198" s="10" t="s">
        <v>466</v>
      </c>
      <c r="H198" s="10">
        <v>3058</v>
      </c>
      <c r="I198" s="10"/>
    </row>
    <row r="199" spans="1:9" x14ac:dyDescent="0.3">
      <c r="A199" s="7" t="s">
        <v>467</v>
      </c>
      <c r="B199" s="7">
        <v>9</v>
      </c>
      <c r="C199" s="7">
        <v>6</v>
      </c>
      <c r="D199" s="7">
        <v>16</v>
      </c>
      <c r="E199" s="7">
        <v>20</v>
      </c>
      <c r="F199" s="7" t="s">
        <v>225</v>
      </c>
      <c r="G199" s="11" t="s">
        <v>169</v>
      </c>
      <c r="H199" s="11">
        <v>5368</v>
      </c>
      <c r="I199" s="11"/>
    </row>
    <row r="200" spans="1:9" x14ac:dyDescent="0.3">
      <c r="A200" s="6" t="s">
        <v>468</v>
      </c>
      <c r="B200" s="6">
        <v>13</v>
      </c>
      <c r="C200" s="6">
        <v>5</v>
      </c>
      <c r="D200" s="6">
        <v>10</v>
      </c>
      <c r="E200" s="6">
        <v>17</v>
      </c>
      <c r="F200" s="6" t="s">
        <v>225</v>
      </c>
      <c r="G200" s="10" t="s">
        <v>227</v>
      </c>
      <c r="H200" s="10">
        <v>4279</v>
      </c>
      <c r="I200" s="10"/>
    </row>
    <row r="201" spans="1:9" x14ac:dyDescent="0.3">
      <c r="A201" s="7" t="s">
        <v>469</v>
      </c>
      <c r="B201" s="7">
        <v>10</v>
      </c>
      <c r="C201" s="7">
        <v>5</v>
      </c>
      <c r="D201" s="7">
        <v>10</v>
      </c>
      <c r="E201" s="7">
        <v>15</v>
      </c>
      <c r="F201" s="7" t="s">
        <v>225</v>
      </c>
      <c r="G201" s="11" t="s">
        <v>470</v>
      </c>
      <c r="H201" s="11">
        <v>3278</v>
      </c>
      <c r="I201" s="11"/>
    </row>
    <row r="202" spans="1:9" x14ac:dyDescent="0.3">
      <c r="A202" s="6" t="s">
        <v>471</v>
      </c>
      <c r="B202" s="6">
        <v>8</v>
      </c>
      <c r="C202" s="6">
        <v>6</v>
      </c>
      <c r="D202" s="6">
        <v>16</v>
      </c>
      <c r="E202" s="6">
        <v>24</v>
      </c>
      <c r="F202" s="6" t="s">
        <v>225</v>
      </c>
      <c r="G202" s="10" t="s">
        <v>472</v>
      </c>
      <c r="H202" s="10">
        <v>5588</v>
      </c>
      <c r="I202" s="10"/>
    </row>
    <row r="203" spans="1:9" x14ac:dyDescent="0.3">
      <c r="A203" s="7" t="s">
        <v>473</v>
      </c>
      <c r="B203" s="7">
        <v>5</v>
      </c>
      <c r="C203" s="7">
        <v>6.3</v>
      </c>
      <c r="D203" s="7">
        <v>6.3</v>
      </c>
      <c r="E203" s="7">
        <v>14</v>
      </c>
      <c r="F203" s="7" t="s">
        <v>231</v>
      </c>
      <c r="G203" s="11" t="s">
        <v>474</v>
      </c>
      <c r="H203" s="11">
        <v>2530</v>
      </c>
      <c r="I203" s="11"/>
    </row>
    <row r="204" spans="1:9" x14ac:dyDescent="0.3">
      <c r="A204" s="6" t="s">
        <v>475</v>
      </c>
      <c r="B204" s="6"/>
      <c r="C204" s="6">
        <v>6</v>
      </c>
      <c r="D204" s="6">
        <v>9</v>
      </c>
      <c r="E204" s="6">
        <v>15</v>
      </c>
      <c r="F204" s="6" t="s">
        <v>238</v>
      </c>
      <c r="G204" s="10" t="s">
        <v>476</v>
      </c>
      <c r="H204" s="10">
        <v>2783</v>
      </c>
      <c r="I204" s="10"/>
    </row>
    <row r="205" spans="1:9" x14ac:dyDescent="0.3">
      <c r="A205" s="7" t="s">
        <v>109</v>
      </c>
      <c r="B205" s="7">
        <v>2</v>
      </c>
      <c r="C205" s="7">
        <v>5</v>
      </c>
      <c r="D205" s="7">
        <v>8</v>
      </c>
      <c r="E205" s="7">
        <v>15</v>
      </c>
      <c r="F205" s="7" t="s">
        <v>238</v>
      </c>
      <c r="G205" s="11" t="s">
        <v>477</v>
      </c>
      <c r="H205" s="11">
        <v>3762</v>
      </c>
      <c r="I205" s="12" t="s">
        <v>134</v>
      </c>
    </row>
    <row r="206" spans="1:9" x14ac:dyDescent="0.3">
      <c r="A206" s="6" t="s">
        <v>94</v>
      </c>
      <c r="B206" s="6">
        <v>1</v>
      </c>
      <c r="C206" s="6">
        <v>7.9</v>
      </c>
      <c r="D206" s="6">
        <v>14.4</v>
      </c>
      <c r="E206" s="6">
        <v>18</v>
      </c>
      <c r="F206" s="6" t="s">
        <v>238</v>
      </c>
      <c r="G206" s="10" t="s">
        <v>478</v>
      </c>
      <c r="H206" s="10">
        <v>5368</v>
      </c>
      <c r="I206" s="12" t="s">
        <v>134</v>
      </c>
    </row>
    <row r="207" spans="1:9" x14ac:dyDescent="0.3">
      <c r="A207" s="7" t="s">
        <v>108</v>
      </c>
      <c r="B207" s="7">
        <v>20</v>
      </c>
      <c r="C207" s="7">
        <v>6</v>
      </c>
      <c r="D207" s="7">
        <v>9</v>
      </c>
      <c r="E207" s="7">
        <v>12</v>
      </c>
      <c r="F207" s="7" t="s">
        <v>238</v>
      </c>
      <c r="G207" s="11" t="s">
        <v>479</v>
      </c>
      <c r="H207" s="11">
        <v>2904</v>
      </c>
      <c r="I207" s="12" t="s">
        <v>134</v>
      </c>
    </row>
    <row r="208" spans="1:9" x14ac:dyDescent="0.3">
      <c r="A208" s="6" t="s">
        <v>112</v>
      </c>
      <c r="B208" s="6">
        <v>13</v>
      </c>
      <c r="C208" s="6">
        <v>5</v>
      </c>
      <c r="D208" s="6">
        <v>8</v>
      </c>
      <c r="E208" s="6">
        <v>14.5</v>
      </c>
      <c r="F208" s="6" t="s">
        <v>238</v>
      </c>
      <c r="G208" s="10" t="s">
        <v>480</v>
      </c>
      <c r="H208" s="10">
        <v>2915</v>
      </c>
      <c r="I208" s="12" t="s">
        <v>134</v>
      </c>
    </row>
    <row r="209" spans="1:9" x14ac:dyDescent="0.3">
      <c r="A209" s="7" t="s">
        <v>114</v>
      </c>
      <c r="B209" s="7">
        <v>2</v>
      </c>
      <c r="C209" s="7">
        <v>6.25</v>
      </c>
      <c r="D209" s="7">
        <v>15.9</v>
      </c>
      <c r="E209" s="7">
        <v>22</v>
      </c>
      <c r="F209" s="7" t="s">
        <v>238</v>
      </c>
      <c r="G209" s="11" t="s">
        <v>481</v>
      </c>
      <c r="H209" s="11">
        <v>5643.0000000000009</v>
      </c>
      <c r="I209" s="12" t="s">
        <v>134</v>
      </c>
    </row>
    <row r="210" spans="1:9" x14ac:dyDescent="0.3">
      <c r="A210" s="6" t="s">
        <v>78</v>
      </c>
      <c r="B210" s="6">
        <v>10</v>
      </c>
      <c r="C210" s="6">
        <v>5</v>
      </c>
      <c r="D210" s="6">
        <v>8</v>
      </c>
      <c r="E210" s="6">
        <v>12</v>
      </c>
      <c r="F210" s="6" t="s">
        <v>238</v>
      </c>
      <c r="G210" s="10" t="s">
        <v>482</v>
      </c>
      <c r="H210" s="10">
        <v>2255</v>
      </c>
      <c r="I210" s="12" t="s">
        <v>134</v>
      </c>
    </row>
    <row r="211" spans="1:9" x14ac:dyDescent="0.3">
      <c r="A211" s="7" t="s">
        <v>483</v>
      </c>
      <c r="B211" s="7">
        <v>9</v>
      </c>
      <c r="C211" s="7">
        <v>6</v>
      </c>
      <c r="D211" s="7">
        <v>8</v>
      </c>
      <c r="E211" s="7">
        <v>18</v>
      </c>
      <c r="F211" s="7" t="s">
        <v>238</v>
      </c>
      <c r="G211" s="11" t="s">
        <v>484</v>
      </c>
      <c r="H211" s="11">
        <v>2783</v>
      </c>
      <c r="I211" s="11"/>
    </row>
    <row r="212" spans="1:9" x14ac:dyDescent="0.3">
      <c r="A212" s="6" t="s">
        <v>44</v>
      </c>
      <c r="B212" s="6">
        <v>10</v>
      </c>
      <c r="C212" s="6">
        <v>5</v>
      </c>
      <c r="D212" s="6">
        <v>8</v>
      </c>
      <c r="E212" s="6">
        <v>17</v>
      </c>
      <c r="F212" s="6" t="s">
        <v>238</v>
      </c>
      <c r="G212" s="10" t="s">
        <v>485</v>
      </c>
      <c r="H212" s="10">
        <v>3542</v>
      </c>
      <c r="I212" s="12" t="s">
        <v>134</v>
      </c>
    </row>
    <row r="213" spans="1:9" x14ac:dyDescent="0.3">
      <c r="A213" s="7" t="s">
        <v>486</v>
      </c>
      <c r="B213" s="7">
        <v>1</v>
      </c>
      <c r="C213" s="7">
        <v>7</v>
      </c>
      <c r="D213" s="7">
        <v>10.9</v>
      </c>
      <c r="E213" s="7">
        <v>20</v>
      </c>
      <c r="F213" s="7" t="s">
        <v>238</v>
      </c>
      <c r="G213" s="11" t="s">
        <v>487</v>
      </c>
      <c r="H213" s="11">
        <v>5533</v>
      </c>
      <c r="I213" s="11"/>
    </row>
    <row r="214" spans="1:9" x14ac:dyDescent="0.3">
      <c r="A214" s="6" t="s">
        <v>488</v>
      </c>
      <c r="B214" s="6">
        <v>13</v>
      </c>
      <c r="C214" s="6">
        <v>6</v>
      </c>
      <c r="D214" s="6">
        <v>9</v>
      </c>
      <c r="E214" s="6">
        <v>15</v>
      </c>
      <c r="F214" s="6" t="s">
        <v>238</v>
      </c>
      <c r="G214" s="10" t="s">
        <v>489</v>
      </c>
      <c r="H214" s="10">
        <v>2783</v>
      </c>
      <c r="I214" s="10"/>
    </row>
    <row r="215" spans="1:9" x14ac:dyDescent="0.3">
      <c r="A215" s="7" t="s">
        <v>490</v>
      </c>
      <c r="B215" s="7">
        <v>13</v>
      </c>
      <c r="C215" s="7">
        <v>6</v>
      </c>
      <c r="D215" s="7">
        <v>11</v>
      </c>
      <c r="E215" s="7">
        <v>15</v>
      </c>
      <c r="F215" s="7" t="s">
        <v>238</v>
      </c>
      <c r="G215" s="11" t="s">
        <v>491</v>
      </c>
      <c r="H215" s="11">
        <v>2530</v>
      </c>
      <c r="I215" s="11"/>
    </row>
    <row r="216" spans="1:9" x14ac:dyDescent="0.3">
      <c r="A216" s="6" t="s">
        <v>492</v>
      </c>
      <c r="B216" s="6">
        <v>13</v>
      </c>
      <c r="C216" s="6">
        <v>6.3</v>
      </c>
      <c r="D216" s="6">
        <v>9.5</v>
      </c>
      <c r="E216" s="6">
        <v>13</v>
      </c>
      <c r="F216" s="6" t="s">
        <v>238</v>
      </c>
      <c r="G216" s="10" t="s">
        <v>493</v>
      </c>
      <c r="H216" s="10">
        <v>3729</v>
      </c>
      <c r="I216" s="10"/>
    </row>
    <row r="217" spans="1:9" x14ac:dyDescent="0.3">
      <c r="A217" s="7" t="s">
        <v>494</v>
      </c>
      <c r="B217" s="7">
        <v>9</v>
      </c>
      <c r="C217" s="7">
        <v>6</v>
      </c>
      <c r="D217" s="7">
        <v>7</v>
      </c>
      <c r="E217" s="7">
        <v>15</v>
      </c>
      <c r="F217" s="7" t="s">
        <v>238</v>
      </c>
      <c r="G217" s="11" t="s">
        <v>495</v>
      </c>
      <c r="H217" s="11">
        <v>3762</v>
      </c>
      <c r="I217" s="11"/>
    </row>
    <row r="218" spans="1:9" x14ac:dyDescent="0.3">
      <c r="A218" s="6" t="s">
        <v>496</v>
      </c>
      <c r="B218" s="6">
        <v>1</v>
      </c>
      <c r="C218" s="6">
        <v>6</v>
      </c>
      <c r="D218" s="6">
        <v>13.8</v>
      </c>
      <c r="E218" s="6">
        <v>22</v>
      </c>
      <c r="F218" s="6" t="s">
        <v>245</v>
      </c>
      <c r="G218" s="10" t="s">
        <v>249</v>
      </c>
      <c r="H218" s="10">
        <v>4796</v>
      </c>
      <c r="I218" s="10"/>
    </row>
    <row r="219" spans="1:9" x14ac:dyDescent="0.3">
      <c r="A219" s="7" t="s">
        <v>497</v>
      </c>
      <c r="B219" s="7">
        <v>1</v>
      </c>
      <c r="C219" s="7">
        <v>5.75</v>
      </c>
      <c r="D219" s="7">
        <v>10</v>
      </c>
      <c r="E219" s="7">
        <v>14</v>
      </c>
      <c r="F219" s="7" t="s">
        <v>142</v>
      </c>
      <c r="G219" s="11" t="s">
        <v>498</v>
      </c>
      <c r="H219" s="11">
        <v>5313</v>
      </c>
      <c r="I219" s="11"/>
    </row>
    <row r="220" spans="1:9" x14ac:dyDescent="0.3">
      <c r="A220" s="6" t="s">
        <v>499</v>
      </c>
      <c r="B220" s="6">
        <v>1</v>
      </c>
      <c r="C220" s="6">
        <v>6.3</v>
      </c>
      <c r="D220" s="6">
        <v>8</v>
      </c>
      <c r="E220" s="6">
        <v>13</v>
      </c>
      <c r="F220" s="6" t="s">
        <v>142</v>
      </c>
      <c r="G220" s="10" t="s">
        <v>500</v>
      </c>
      <c r="H220" s="10">
        <v>5313</v>
      </c>
      <c r="I220" s="10"/>
    </row>
    <row r="221" spans="1:9" x14ac:dyDescent="0.3">
      <c r="A221" s="7" t="s">
        <v>55</v>
      </c>
      <c r="B221" s="7">
        <v>1</v>
      </c>
      <c r="C221" s="7">
        <v>5</v>
      </c>
      <c r="D221" s="7">
        <v>8</v>
      </c>
      <c r="E221" s="7">
        <v>12</v>
      </c>
      <c r="F221" s="7" t="s">
        <v>142</v>
      </c>
      <c r="G221" s="11" t="s">
        <v>501</v>
      </c>
      <c r="H221" s="11">
        <v>2530</v>
      </c>
      <c r="I221" s="12" t="s">
        <v>134</v>
      </c>
    </row>
    <row r="222" spans="1:9" x14ac:dyDescent="0.3">
      <c r="A222" s="6" t="s">
        <v>116</v>
      </c>
      <c r="B222" s="6">
        <v>1</v>
      </c>
      <c r="C222" s="6">
        <v>6.3</v>
      </c>
      <c r="D222" s="6">
        <v>8</v>
      </c>
      <c r="E222" s="6">
        <v>12</v>
      </c>
      <c r="F222" s="6" t="s">
        <v>142</v>
      </c>
      <c r="G222" s="10" t="s">
        <v>501</v>
      </c>
      <c r="H222" s="10">
        <v>2530</v>
      </c>
      <c r="I222" s="12" t="s">
        <v>134</v>
      </c>
    </row>
    <row r="223" spans="1:9" x14ac:dyDescent="0.3">
      <c r="A223" s="7" t="s">
        <v>502</v>
      </c>
      <c r="B223" s="7">
        <v>2</v>
      </c>
      <c r="C223" s="7">
        <v>5</v>
      </c>
      <c r="D223" s="7">
        <v>8</v>
      </c>
      <c r="E223" s="7">
        <v>19</v>
      </c>
      <c r="F223" s="7" t="s">
        <v>156</v>
      </c>
      <c r="G223" s="11" t="s">
        <v>503</v>
      </c>
      <c r="H223" s="11">
        <v>3762</v>
      </c>
      <c r="I223" s="11"/>
    </row>
    <row r="224" spans="1:9" x14ac:dyDescent="0.3">
      <c r="A224" s="6" t="s">
        <v>504</v>
      </c>
      <c r="B224" s="6">
        <v>2</v>
      </c>
      <c r="C224" s="6">
        <v>6</v>
      </c>
      <c r="D224" s="6">
        <v>12</v>
      </c>
      <c r="E224" s="6"/>
      <c r="F224" s="6" t="s">
        <v>156</v>
      </c>
      <c r="G224" s="10" t="s">
        <v>505</v>
      </c>
      <c r="H224" s="10">
        <v>6303.0000000000009</v>
      </c>
      <c r="I224" s="10"/>
    </row>
    <row r="225" spans="1:9" x14ac:dyDescent="0.3">
      <c r="A225" s="7" t="s">
        <v>504</v>
      </c>
      <c r="B225" s="7">
        <v>1</v>
      </c>
      <c r="C225" s="7">
        <v>6</v>
      </c>
      <c r="D225" s="7">
        <v>9</v>
      </c>
      <c r="E225" s="7">
        <v>27</v>
      </c>
      <c r="F225" s="7" t="s">
        <v>128</v>
      </c>
      <c r="G225" s="11" t="s">
        <v>506</v>
      </c>
      <c r="H225" s="11">
        <v>6303.0000000000009</v>
      </c>
      <c r="I225" s="11"/>
    </row>
    <row r="226" spans="1:9" x14ac:dyDescent="0.3">
      <c r="A226" s="6" t="s">
        <v>507</v>
      </c>
      <c r="B226" s="6">
        <v>1</v>
      </c>
      <c r="C226" s="6">
        <v>7</v>
      </c>
      <c r="D226" s="6">
        <v>7</v>
      </c>
      <c r="E226" s="6"/>
      <c r="F226" s="6" t="s">
        <v>128</v>
      </c>
      <c r="G226" s="10"/>
      <c r="H226" s="10">
        <v>5731.0000000000009</v>
      </c>
      <c r="I226" s="10"/>
    </row>
    <row r="227" spans="1:9" x14ac:dyDescent="0.3">
      <c r="A227" s="7" t="s">
        <v>508</v>
      </c>
      <c r="B227" s="7">
        <v>9</v>
      </c>
      <c r="C227" s="7">
        <v>6.3</v>
      </c>
      <c r="D227" s="7">
        <v>8</v>
      </c>
      <c r="E227" s="7">
        <v>16</v>
      </c>
      <c r="F227" s="7" t="s">
        <v>142</v>
      </c>
      <c r="G227" s="11" t="s">
        <v>509</v>
      </c>
      <c r="H227" s="11">
        <v>3641</v>
      </c>
      <c r="I227" s="11"/>
    </row>
    <row r="228" spans="1:9" x14ac:dyDescent="0.3">
      <c r="A228" s="6" t="s">
        <v>508</v>
      </c>
      <c r="B228" s="6">
        <v>1</v>
      </c>
      <c r="C228" s="6">
        <v>5</v>
      </c>
      <c r="D228" s="6">
        <v>5</v>
      </c>
      <c r="E228" s="6">
        <v>27</v>
      </c>
      <c r="F228" s="6" t="s">
        <v>128</v>
      </c>
      <c r="G228" s="10"/>
      <c r="H228" s="10">
        <v>3641</v>
      </c>
      <c r="I228" s="10"/>
    </row>
    <row r="229" spans="1:9" x14ac:dyDescent="0.3">
      <c r="A229" s="7" t="s">
        <v>37</v>
      </c>
      <c r="B229" s="7">
        <v>9</v>
      </c>
      <c r="C229" s="7">
        <v>6.3</v>
      </c>
      <c r="D229" s="7">
        <v>8</v>
      </c>
      <c r="E229" s="7">
        <v>15</v>
      </c>
      <c r="F229" s="7" t="s">
        <v>142</v>
      </c>
      <c r="G229" s="11" t="s">
        <v>510</v>
      </c>
      <c r="H229" s="11">
        <v>3641</v>
      </c>
      <c r="I229" s="12" t="s">
        <v>134</v>
      </c>
    </row>
    <row r="230" spans="1:9" x14ac:dyDescent="0.3">
      <c r="A230" s="6" t="s">
        <v>511</v>
      </c>
      <c r="B230" s="6">
        <v>7</v>
      </c>
      <c r="C230" s="6">
        <v>7</v>
      </c>
      <c r="D230" s="6">
        <v>11</v>
      </c>
      <c r="E230" s="6">
        <v>20</v>
      </c>
      <c r="F230" s="6" t="s">
        <v>142</v>
      </c>
      <c r="G230" s="10" t="s">
        <v>512</v>
      </c>
      <c r="H230" s="10">
        <v>3047</v>
      </c>
      <c r="I230" s="10"/>
    </row>
    <row r="231" spans="1:9" x14ac:dyDescent="0.3">
      <c r="A231" s="7" t="s">
        <v>513</v>
      </c>
      <c r="B231" s="7">
        <v>1</v>
      </c>
      <c r="C231" s="7">
        <v>6</v>
      </c>
      <c r="D231" s="7">
        <v>8</v>
      </c>
      <c r="E231" s="7">
        <v>13</v>
      </c>
      <c r="F231" s="7" t="s">
        <v>142</v>
      </c>
      <c r="G231" s="11" t="s">
        <v>514</v>
      </c>
      <c r="H231" s="11">
        <v>3047</v>
      </c>
      <c r="I231" s="11"/>
    </row>
    <row r="232" spans="1:9" x14ac:dyDescent="0.3">
      <c r="A232" s="6" t="s">
        <v>56</v>
      </c>
      <c r="B232" s="6">
        <v>1</v>
      </c>
      <c r="C232" s="6">
        <v>5</v>
      </c>
      <c r="D232" s="6">
        <v>8</v>
      </c>
      <c r="E232" s="6">
        <v>12</v>
      </c>
      <c r="F232" s="6" t="s">
        <v>142</v>
      </c>
      <c r="G232" s="10" t="s">
        <v>515</v>
      </c>
      <c r="H232" s="10">
        <v>2530</v>
      </c>
      <c r="I232" s="12" t="s">
        <v>134</v>
      </c>
    </row>
    <row r="233" spans="1:9" x14ac:dyDescent="0.3">
      <c r="A233" s="7" t="s">
        <v>516</v>
      </c>
      <c r="B233" s="7"/>
      <c r="C233" s="7">
        <v>6</v>
      </c>
      <c r="D233" s="7">
        <v>11</v>
      </c>
      <c r="E233" s="7">
        <v>18</v>
      </c>
      <c r="F233" s="7" t="s">
        <v>142</v>
      </c>
      <c r="G233" s="11" t="s">
        <v>517</v>
      </c>
      <c r="H233" s="11">
        <v>3762</v>
      </c>
      <c r="I233" s="11"/>
    </row>
    <row r="234" spans="1:9" x14ac:dyDescent="0.3">
      <c r="A234" s="6" t="s">
        <v>57</v>
      </c>
      <c r="B234" s="6">
        <v>1</v>
      </c>
      <c r="C234" s="6">
        <v>5</v>
      </c>
      <c r="D234" s="6">
        <v>8</v>
      </c>
      <c r="E234" s="6">
        <v>12</v>
      </c>
      <c r="F234" s="6" t="s">
        <v>518</v>
      </c>
      <c r="G234" s="10" t="s">
        <v>519</v>
      </c>
      <c r="H234" s="10">
        <v>2530</v>
      </c>
      <c r="I234" s="12" t="s">
        <v>134</v>
      </c>
    </row>
    <row r="235" spans="1:9" x14ac:dyDescent="0.3">
      <c r="A235" s="7" t="s">
        <v>79</v>
      </c>
      <c r="B235" s="7">
        <v>10</v>
      </c>
      <c r="C235" s="7">
        <v>5</v>
      </c>
      <c r="D235" s="7">
        <v>8</v>
      </c>
      <c r="E235" s="7">
        <v>12</v>
      </c>
      <c r="F235" s="7" t="s">
        <v>518</v>
      </c>
      <c r="G235" s="11" t="s">
        <v>520</v>
      </c>
      <c r="H235" s="11">
        <v>2255</v>
      </c>
      <c r="I235" s="12" t="s">
        <v>134</v>
      </c>
    </row>
    <row r="236" spans="1:9" x14ac:dyDescent="0.3">
      <c r="A236" s="6" t="s">
        <v>84</v>
      </c>
      <c r="B236" s="6">
        <v>2</v>
      </c>
      <c r="C236" s="6">
        <v>6.5</v>
      </c>
      <c r="D236" s="6">
        <v>13.5</v>
      </c>
      <c r="E236" s="6">
        <v>18</v>
      </c>
      <c r="F236" s="6" t="s">
        <v>518</v>
      </c>
      <c r="G236" s="10" t="s">
        <v>521</v>
      </c>
      <c r="H236" s="10">
        <v>5643.0000000000009</v>
      </c>
      <c r="I236" s="12" t="s">
        <v>134</v>
      </c>
    </row>
    <row r="237" spans="1:9" x14ac:dyDescent="0.3">
      <c r="A237" s="7" t="s">
        <v>522</v>
      </c>
      <c r="B237" s="7">
        <v>10</v>
      </c>
      <c r="C237" s="7">
        <v>5</v>
      </c>
      <c r="D237" s="7">
        <v>8</v>
      </c>
      <c r="E237" s="7">
        <v>15</v>
      </c>
      <c r="F237" s="7" t="s">
        <v>518</v>
      </c>
      <c r="G237" s="11" t="s">
        <v>523</v>
      </c>
      <c r="H237" s="11">
        <v>3542</v>
      </c>
      <c r="I237" s="11"/>
    </row>
    <row r="238" spans="1:9" x14ac:dyDescent="0.3">
      <c r="A238" s="6" t="s">
        <v>72</v>
      </c>
      <c r="B238" s="6">
        <v>1</v>
      </c>
      <c r="C238" s="6">
        <v>6</v>
      </c>
      <c r="D238" s="6">
        <v>10</v>
      </c>
      <c r="E238" s="6">
        <v>15</v>
      </c>
      <c r="F238" s="6" t="s">
        <v>518</v>
      </c>
      <c r="G238" s="10" t="s">
        <v>524</v>
      </c>
      <c r="H238" s="10">
        <v>5313</v>
      </c>
      <c r="I238" s="12" t="s">
        <v>134</v>
      </c>
    </row>
    <row r="239" spans="1:9" x14ac:dyDescent="0.3">
      <c r="A239" s="7" t="s">
        <v>525</v>
      </c>
      <c r="B239" s="7">
        <v>10</v>
      </c>
      <c r="C239" s="7">
        <v>6</v>
      </c>
      <c r="D239" s="7">
        <v>9</v>
      </c>
      <c r="E239" s="7">
        <v>12</v>
      </c>
      <c r="F239" s="7" t="s">
        <v>518</v>
      </c>
      <c r="G239" s="11" t="s">
        <v>526</v>
      </c>
      <c r="H239" s="11">
        <v>2255</v>
      </c>
      <c r="I239" s="11"/>
    </row>
    <row r="240" spans="1:9" x14ac:dyDescent="0.3">
      <c r="A240" s="6" t="s">
        <v>527</v>
      </c>
      <c r="B240" s="6">
        <v>1</v>
      </c>
      <c r="C240" s="6">
        <v>6</v>
      </c>
      <c r="D240" s="6">
        <v>10</v>
      </c>
      <c r="E240" s="6">
        <v>16</v>
      </c>
      <c r="F240" s="6" t="s">
        <v>518</v>
      </c>
      <c r="G240" s="10" t="s">
        <v>528</v>
      </c>
      <c r="H240" s="10">
        <v>4653</v>
      </c>
      <c r="I240" s="10"/>
    </row>
    <row r="241" spans="1:9" x14ac:dyDescent="0.3">
      <c r="A241" s="7" t="s">
        <v>529</v>
      </c>
      <c r="B241" s="7">
        <v>1</v>
      </c>
      <c r="C241" s="7">
        <v>7</v>
      </c>
      <c r="D241" s="7">
        <v>14</v>
      </c>
      <c r="E241" s="7">
        <v>21</v>
      </c>
      <c r="F241" s="7" t="s">
        <v>518</v>
      </c>
      <c r="G241" s="11" t="s">
        <v>530</v>
      </c>
      <c r="H241" s="11">
        <v>4796</v>
      </c>
      <c r="I241" s="11"/>
    </row>
    <row r="242" spans="1:9" x14ac:dyDescent="0.3">
      <c r="A242" s="6" t="s">
        <v>531</v>
      </c>
      <c r="B242" s="6">
        <v>2</v>
      </c>
      <c r="C242" s="6">
        <v>7.3</v>
      </c>
      <c r="D242" s="6">
        <v>13.3</v>
      </c>
      <c r="E242" s="6">
        <v>17</v>
      </c>
      <c r="F242" s="6" t="s">
        <v>518</v>
      </c>
      <c r="G242" s="10" t="s">
        <v>532</v>
      </c>
      <c r="H242" s="10">
        <v>3641</v>
      </c>
      <c r="I242" s="10"/>
    </row>
    <row r="243" spans="1:9" x14ac:dyDescent="0.3">
      <c r="A243" s="7" t="s">
        <v>533</v>
      </c>
      <c r="B243" s="7">
        <v>10</v>
      </c>
      <c r="C243" s="7">
        <v>6</v>
      </c>
      <c r="D243" s="7">
        <v>10</v>
      </c>
      <c r="E243" s="7">
        <v>14</v>
      </c>
      <c r="F243" s="7" t="s">
        <v>518</v>
      </c>
      <c r="G243" s="11" t="s">
        <v>534</v>
      </c>
      <c r="H243" s="11">
        <v>3278</v>
      </c>
      <c r="I243" s="11"/>
    </row>
    <row r="244" spans="1:9" x14ac:dyDescent="0.3">
      <c r="A244" s="6" t="s">
        <v>52</v>
      </c>
      <c r="B244" s="6">
        <v>1</v>
      </c>
      <c r="C244" s="6">
        <v>7</v>
      </c>
      <c r="D244" s="6">
        <v>11</v>
      </c>
      <c r="E244" s="6">
        <v>17</v>
      </c>
      <c r="F244" s="6" t="s">
        <v>518</v>
      </c>
      <c r="G244" s="10" t="s">
        <v>535</v>
      </c>
      <c r="H244" s="10">
        <v>3366</v>
      </c>
      <c r="I244" s="12" t="s">
        <v>134</v>
      </c>
    </row>
    <row r="245" spans="1:9" x14ac:dyDescent="0.3">
      <c r="A245" s="7" t="s">
        <v>110</v>
      </c>
      <c r="B245" s="7">
        <v>2</v>
      </c>
      <c r="C245" s="7">
        <v>5</v>
      </c>
      <c r="D245" s="7">
        <v>8</v>
      </c>
      <c r="E245" s="7">
        <v>15</v>
      </c>
      <c r="F245" s="7" t="s">
        <v>518</v>
      </c>
      <c r="G245" s="11" t="s">
        <v>536</v>
      </c>
      <c r="H245" s="11">
        <v>3861</v>
      </c>
      <c r="I245" s="12" t="s">
        <v>134</v>
      </c>
    </row>
    <row r="246" spans="1:9" x14ac:dyDescent="0.3">
      <c r="A246" s="6" t="s">
        <v>105</v>
      </c>
      <c r="B246" s="6">
        <v>13</v>
      </c>
      <c r="C246" s="6">
        <v>6</v>
      </c>
      <c r="D246" s="6">
        <v>9</v>
      </c>
      <c r="E246" s="6">
        <v>13</v>
      </c>
      <c r="F246" s="6" t="s">
        <v>537</v>
      </c>
      <c r="G246" s="10" t="s">
        <v>538</v>
      </c>
      <c r="H246" s="10">
        <v>4070</v>
      </c>
      <c r="I246" s="12" t="s">
        <v>134</v>
      </c>
    </row>
    <row r="247" spans="1:9" x14ac:dyDescent="0.3">
      <c r="A247" s="7" t="s">
        <v>46</v>
      </c>
      <c r="B247" s="7">
        <v>2</v>
      </c>
      <c r="C247" s="7">
        <v>6.3</v>
      </c>
      <c r="D247" s="7">
        <v>16</v>
      </c>
      <c r="E247" s="7">
        <v>22</v>
      </c>
      <c r="F247" s="7" t="s">
        <v>537</v>
      </c>
      <c r="G247" s="11" t="s">
        <v>539</v>
      </c>
      <c r="H247" s="11">
        <v>5368</v>
      </c>
      <c r="I247" s="12" t="s">
        <v>134</v>
      </c>
    </row>
    <row r="248" spans="1:9" x14ac:dyDescent="0.3">
      <c r="A248" s="6" t="s">
        <v>540</v>
      </c>
      <c r="B248" s="6">
        <v>1</v>
      </c>
      <c r="C248" s="6">
        <v>6</v>
      </c>
      <c r="D248" s="6">
        <v>9</v>
      </c>
      <c r="E248" s="6">
        <v>17</v>
      </c>
      <c r="F248" s="6" t="s">
        <v>132</v>
      </c>
      <c r="G248" s="10" t="s">
        <v>541</v>
      </c>
      <c r="H248" s="10">
        <v>3762</v>
      </c>
      <c r="I248" s="10"/>
    </row>
    <row r="249" spans="1:9" x14ac:dyDescent="0.3">
      <c r="A249" s="7" t="s">
        <v>120</v>
      </c>
      <c r="B249" s="7">
        <v>14</v>
      </c>
      <c r="C249" s="7">
        <v>6</v>
      </c>
      <c r="D249" s="7">
        <v>9</v>
      </c>
      <c r="E249" s="7">
        <v>17</v>
      </c>
      <c r="F249" s="7" t="s">
        <v>132</v>
      </c>
      <c r="G249" s="11" t="s">
        <v>542</v>
      </c>
      <c r="H249" s="11">
        <v>2783</v>
      </c>
      <c r="I249" s="12" t="s">
        <v>134</v>
      </c>
    </row>
    <row r="250" spans="1:9" x14ac:dyDescent="0.3">
      <c r="A250" s="6" t="s">
        <v>543</v>
      </c>
      <c r="B250" s="6">
        <v>1</v>
      </c>
      <c r="C250" s="6">
        <v>7</v>
      </c>
      <c r="D250" s="6">
        <v>14</v>
      </c>
      <c r="E250" s="6">
        <v>16</v>
      </c>
      <c r="F250" s="6" t="s">
        <v>132</v>
      </c>
      <c r="G250" s="10" t="s">
        <v>544</v>
      </c>
      <c r="H250" s="10">
        <v>4796</v>
      </c>
      <c r="I250" s="10"/>
    </row>
    <row r="251" spans="1:9" x14ac:dyDescent="0.3">
      <c r="A251" s="7" t="s">
        <v>95</v>
      </c>
      <c r="B251" s="7">
        <v>1</v>
      </c>
      <c r="C251" s="7">
        <v>7.9</v>
      </c>
      <c r="D251" s="7">
        <v>14.4</v>
      </c>
      <c r="E251" s="7">
        <v>18</v>
      </c>
      <c r="F251" s="7" t="s">
        <v>132</v>
      </c>
      <c r="G251" s="11" t="s">
        <v>545</v>
      </c>
      <c r="H251" s="11">
        <v>5368</v>
      </c>
      <c r="I251" s="12" t="s">
        <v>134</v>
      </c>
    </row>
    <row r="252" spans="1:9" x14ac:dyDescent="0.3">
      <c r="A252" s="6" t="s">
        <v>546</v>
      </c>
      <c r="B252" s="6">
        <v>1</v>
      </c>
      <c r="C252" s="6">
        <v>5.9</v>
      </c>
      <c r="D252" s="6">
        <v>9.9</v>
      </c>
      <c r="E252" s="6">
        <v>14.4</v>
      </c>
      <c r="F252" s="6" t="s">
        <v>132</v>
      </c>
      <c r="G252" s="10" t="s">
        <v>547</v>
      </c>
      <c r="H252" s="10">
        <v>5313</v>
      </c>
      <c r="I252" s="10"/>
    </row>
    <row r="253" spans="1:9" x14ac:dyDescent="0.3">
      <c r="A253" s="7" t="s">
        <v>548</v>
      </c>
      <c r="B253" s="7">
        <v>10</v>
      </c>
      <c r="C253" s="7">
        <v>6</v>
      </c>
      <c r="D253" s="7">
        <v>9</v>
      </c>
      <c r="E253" s="7">
        <v>17</v>
      </c>
      <c r="F253" s="7" t="s">
        <v>132</v>
      </c>
      <c r="G253" s="11" t="s">
        <v>549</v>
      </c>
      <c r="H253" s="11">
        <v>2827</v>
      </c>
      <c r="I253" s="11"/>
    </row>
    <row r="254" spans="1:9" x14ac:dyDescent="0.3">
      <c r="A254" s="6" t="s">
        <v>550</v>
      </c>
      <c r="B254" s="6">
        <v>16</v>
      </c>
      <c r="C254" s="6">
        <v>6</v>
      </c>
      <c r="D254" s="6">
        <v>11</v>
      </c>
      <c r="E254" s="6">
        <v>14.5</v>
      </c>
      <c r="F254" s="6" t="s">
        <v>132</v>
      </c>
      <c r="G254" s="10" t="s">
        <v>551</v>
      </c>
      <c r="H254" s="10">
        <v>4246</v>
      </c>
      <c r="I254" s="10"/>
    </row>
    <row r="255" spans="1:9" x14ac:dyDescent="0.3">
      <c r="A255" s="7" t="s">
        <v>102</v>
      </c>
      <c r="B255" s="7">
        <v>1</v>
      </c>
      <c r="C255" s="7">
        <v>5</v>
      </c>
      <c r="D255" s="7">
        <v>11</v>
      </c>
      <c r="E255" s="7">
        <v>15.5</v>
      </c>
      <c r="F255" s="7" t="s">
        <v>132</v>
      </c>
      <c r="G255" s="11" t="s">
        <v>552</v>
      </c>
      <c r="H255" s="11">
        <v>4026</v>
      </c>
      <c r="I255" s="12" t="s">
        <v>134</v>
      </c>
    </row>
    <row r="256" spans="1:9" x14ac:dyDescent="0.3">
      <c r="A256" s="6" t="s">
        <v>99</v>
      </c>
      <c r="B256" s="6">
        <v>13</v>
      </c>
      <c r="C256" s="6">
        <v>6.25</v>
      </c>
      <c r="D256" s="6">
        <v>11</v>
      </c>
      <c r="E256" s="6">
        <v>20</v>
      </c>
      <c r="F256" s="6" t="s">
        <v>132</v>
      </c>
      <c r="G256" s="10" t="s">
        <v>553</v>
      </c>
      <c r="H256" s="10">
        <v>5060</v>
      </c>
      <c r="I256" s="12" t="s">
        <v>134</v>
      </c>
    </row>
    <row r="257" spans="1:9" x14ac:dyDescent="0.3">
      <c r="A257" s="7" t="s">
        <v>58</v>
      </c>
      <c r="B257" s="7">
        <v>1</v>
      </c>
      <c r="C257" s="7">
        <v>5</v>
      </c>
      <c r="D257" s="7">
        <v>8</v>
      </c>
      <c r="E257" s="7">
        <v>12</v>
      </c>
      <c r="F257" s="7" t="s">
        <v>132</v>
      </c>
      <c r="G257" s="11" t="s">
        <v>554</v>
      </c>
      <c r="H257" s="11">
        <v>2530</v>
      </c>
      <c r="I257" s="12" t="s">
        <v>134</v>
      </c>
    </row>
    <row r="258" spans="1:9" x14ac:dyDescent="0.3">
      <c r="A258" s="6" t="s">
        <v>555</v>
      </c>
      <c r="B258" s="6">
        <v>1</v>
      </c>
      <c r="C258" s="6">
        <v>5</v>
      </c>
      <c r="D258" s="6">
        <v>11</v>
      </c>
      <c r="E258" s="6">
        <v>15</v>
      </c>
      <c r="F258" s="6" t="s">
        <v>132</v>
      </c>
      <c r="G258" s="10" t="s">
        <v>556</v>
      </c>
      <c r="H258" s="10">
        <v>4070</v>
      </c>
      <c r="I258" s="10"/>
    </row>
    <row r="259" spans="1:9" x14ac:dyDescent="0.3">
      <c r="A259" s="7" t="s">
        <v>557</v>
      </c>
      <c r="B259" s="7">
        <v>1</v>
      </c>
      <c r="C259" s="7">
        <v>6.5</v>
      </c>
      <c r="D259" s="7">
        <v>13</v>
      </c>
      <c r="E259" s="7">
        <v>17</v>
      </c>
      <c r="F259" s="7" t="s">
        <v>132</v>
      </c>
      <c r="G259" s="11" t="s">
        <v>558</v>
      </c>
      <c r="H259" s="11">
        <v>4554</v>
      </c>
      <c r="I259" s="11"/>
    </row>
    <row r="260" spans="1:9" x14ac:dyDescent="0.3">
      <c r="A260" s="6" t="s">
        <v>559</v>
      </c>
      <c r="B260" s="6">
        <v>16</v>
      </c>
      <c r="C260" s="6">
        <v>6</v>
      </c>
      <c r="D260" s="6">
        <v>7</v>
      </c>
      <c r="E260" s="6">
        <v>12</v>
      </c>
      <c r="F260" s="6" t="s">
        <v>132</v>
      </c>
      <c r="G260" s="10" t="s">
        <v>560</v>
      </c>
      <c r="H260" s="10">
        <v>2783</v>
      </c>
      <c r="I260" s="10"/>
    </row>
    <row r="261" spans="1:9" x14ac:dyDescent="0.3">
      <c r="A261" s="7" t="s">
        <v>50</v>
      </c>
      <c r="B261" s="7">
        <v>1</v>
      </c>
      <c r="C261" s="7">
        <v>7</v>
      </c>
      <c r="D261" s="7">
        <v>17</v>
      </c>
      <c r="E261" s="7">
        <v>17</v>
      </c>
      <c r="F261" s="7" t="s">
        <v>132</v>
      </c>
      <c r="G261" s="11" t="s">
        <v>561</v>
      </c>
      <c r="H261" s="11">
        <v>5423</v>
      </c>
      <c r="I261" s="12" t="s">
        <v>134</v>
      </c>
    </row>
    <row r="262" spans="1:9" x14ac:dyDescent="0.3">
      <c r="A262" s="6" t="s">
        <v>113</v>
      </c>
      <c r="B262" s="6">
        <v>13</v>
      </c>
      <c r="C262" s="6">
        <v>5</v>
      </c>
      <c r="D262" s="6">
        <v>8</v>
      </c>
      <c r="E262" s="6">
        <v>14.5</v>
      </c>
      <c r="F262" s="6" t="s">
        <v>132</v>
      </c>
      <c r="G262" s="10" t="s">
        <v>562</v>
      </c>
      <c r="H262" s="10">
        <v>2915</v>
      </c>
      <c r="I262" s="12" t="s">
        <v>134</v>
      </c>
    </row>
    <row r="263" spans="1:9" x14ac:dyDescent="0.3">
      <c r="A263" s="7" t="s">
        <v>563</v>
      </c>
      <c r="B263" s="7">
        <v>10</v>
      </c>
      <c r="C263" s="7">
        <v>5</v>
      </c>
      <c r="D263" s="7">
        <v>9</v>
      </c>
      <c r="E263" s="7">
        <v>12</v>
      </c>
      <c r="F263" s="7" t="s">
        <v>132</v>
      </c>
      <c r="G263" s="11"/>
      <c r="H263" s="11">
        <v>2530</v>
      </c>
      <c r="I263" s="11"/>
    </row>
    <row r="264" spans="1:9" x14ac:dyDescent="0.3">
      <c r="A264" s="6" t="s">
        <v>122</v>
      </c>
      <c r="B264" s="6">
        <v>1</v>
      </c>
      <c r="C264" s="6">
        <v>6</v>
      </c>
      <c r="D264" s="6">
        <v>10</v>
      </c>
      <c r="E264" s="6">
        <v>12.5</v>
      </c>
      <c r="F264" s="6" t="s">
        <v>132</v>
      </c>
      <c r="G264" s="10" t="s">
        <v>564</v>
      </c>
      <c r="H264" s="10">
        <v>3047</v>
      </c>
      <c r="I264" s="12" t="s">
        <v>134</v>
      </c>
    </row>
    <row r="265" spans="1:9" x14ac:dyDescent="0.3">
      <c r="A265" s="7" t="s">
        <v>103</v>
      </c>
      <c r="B265" s="7">
        <v>1</v>
      </c>
      <c r="C265" s="7">
        <v>5</v>
      </c>
      <c r="D265" s="7">
        <v>11</v>
      </c>
      <c r="E265" s="7">
        <v>15.5</v>
      </c>
      <c r="F265" s="7" t="s">
        <v>132</v>
      </c>
      <c r="G265" s="11"/>
      <c r="H265" s="11">
        <v>4070</v>
      </c>
      <c r="I265" s="12" t="s">
        <v>134</v>
      </c>
    </row>
    <row r="266" spans="1:9" x14ac:dyDescent="0.3">
      <c r="A266" s="6" t="s">
        <v>565</v>
      </c>
      <c r="B266" s="6">
        <v>7</v>
      </c>
      <c r="C266" s="6">
        <v>8</v>
      </c>
      <c r="D266" s="6">
        <v>15</v>
      </c>
      <c r="E266" s="6">
        <v>18</v>
      </c>
      <c r="F266" s="6" t="s">
        <v>132</v>
      </c>
      <c r="G266" s="10" t="s">
        <v>566</v>
      </c>
      <c r="H266" s="10">
        <v>5302</v>
      </c>
      <c r="I266" s="10"/>
    </row>
    <row r="267" spans="1:9" x14ac:dyDescent="0.3">
      <c r="A267" s="7" t="s">
        <v>117</v>
      </c>
      <c r="B267" s="7">
        <v>1</v>
      </c>
      <c r="C267" s="7">
        <v>6.3</v>
      </c>
      <c r="D267" s="7">
        <v>8</v>
      </c>
      <c r="E267" s="7">
        <v>12</v>
      </c>
      <c r="F267" s="7" t="s">
        <v>132</v>
      </c>
      <c r="G267" s="11" t="s">
        <v>567</v>
      </c>
      <c r="H267" s="11">
        <v>2530</v>
      </c>
      <c r="I267" s="12" t="s">
        <v>134</v>
      </c>
    </row>
    <row r="268" spans="1:9" x14ac:dyDescent="0.3">
      <c r="A268" s="6" t="s">
        <v>59</v>
      </c>
      <c r="B268" s="6">
        <v>1</v>
      </c>
      <c r="C268" s="6">
        <v>5</v>
      </c>
      <c r="D268" s="6">
        <v>8</v>
      </c>
      <c r="E268" s="6">
        <v>12</v>
      </c>
      <c r="F268" s="6" t="s">
        <v>568</v>
      </c>
      <c r="G268" s="10" t="s">
        <v>569</v>
      </c>
      <c r="H268" s="10">
        <v>2530</v>
      </c>
      <c r="I268" s="12" t="s">
        <v>134</v>
      </c>
    </row>
    <row r="269" spans="1:9" x14ac:dyDescent="0.3">
      <c r="A269" s="7" t="s">
        <v>80</v>
      </c>
      <c r="B269" s="7">
        <v>10</v>
      </c>
      <c r="C269" s="7">
        <v>5</v>
      </c>
      <c r="D269" s="7">
        <v>8</v>
      </c>
      <c r="E269" s="7">
        <v>12</v>
      </c>
      <c r="F269" s="7" t="s">
        <v>568</v>
      </c>
      <c r="G269" s="11" t="s">
        <v>570</v>
      </c>
      <c r="H269" s="11">
        <v>2255</v>
      </c>
      <c r="I269" s="12" t="s">
        <v>134</v>
      </c>
    </row>
    <row r="270" spans="1:9" x14ac:dyDescent="0.3">
      <c r="A270" s="6" t="s">
        <v>85</v>
      </c>
      <c r="B270" s="6">
        <v>2</v>
      </c>
      <c r="C270" s="6">
        <v>6.5</v>
      </c>
      <c r="D270" s="6">
        <v>13.5</v>
      </c>
      <c r="E270" s="6">
        <v>18</v>
      </c>
      <c r="F270" s="6" t="s">
        <v>568</v>
      </c>
      <c r="G270" s="10" t="s">
        <v>571</v>
      </c>
      <c r="H270" s="10">
        <v>5643.0000000000009</v>
      </c>
      <c r="I270" s="12" t="s">
        <v>134</v>
      </c>
    </row>
    <row r="271" spans="1:9" x14ac:dyDescent="0.3">
      <c r="A271" s="7" t="s">
        <v>89</v>
      </c>
      <c r="B271" s="7">
        <v>10</v>
      </c>
      <c r="C271" s="7">
        <v>4.75</v>
      </c>
      <c r="D271" s="7">
        <v>7.9</v>
      </c>
      <c r="E271" s="7">
        <v>15</v>
      </c>
      <c r="F271" s="7" t="s">
        <v>568</v>
      </c>
      <c r="G271" s="11" t="s">
        <v>572</v>
      </c>
      <c r="H271" s="11">
        <v>3542</v>
      </c>
      <c r="I271" s="12" t="s">
        <v>134</v>
      </c>
    </row>
    <row r="272" spans="1:9" x14ac:dyDescent="0.3">
      <c r="A272" s="6" t="s">
        <v>573</v>
      </c>
      <c r="B272" s="6">
        <v>1</v>
      </c>
      <c r="C272" s="6">
        <v>7</v>
      </c>
      <c r="D272" s="6">
        <v>19</v>
      </c>
      <c r="E272" s="6">
        <v>14</v>
      </c>
      <c r="F272" s="6" t="s">
        <v>574</v>
      </c>
      <c r="G272" s="10" t="s">
        <v>575</v>
      </c>
      <c r="H272" s="10">
        <v>5588</v>
      </c>
      <c r="I272" s="10"/>
    </row>
    <row r="273" spans="1:9" x14ac:dyDescent="0.3">
      <c r="A273" s="7" t="s">
        <v>124</v>
      </c>
      <c r="B273" s="7">
        <v>13</v>
      </c>
      <c r="C273" s="7">
        <v>5</v>
      </c>
      <c r="D273" s="7">
        <v>11</v>
      </c>
      <c r="E273" s="7">
        <v>15</v>
      </c>
      <c r="F273" s="7" t="s">
        <v>574</v>
      </c>
      <c r="G273" s="11" t="s">
        <v>576</v>
      </c>
      <c r="H273" s="11">
        <v>4070</v>
      </c>
      <c r="I273" s="12" t="s">
        <v>134</v>
      </c>
    </row>
    <row r="274" spans="1:9" x14ac:dyDescent="0.3">
      <c r="A274" s="6" t="s">
        <v>577</v>
      </c>
      <c r="B274" s="6">
        <v>1</v>
      </c>
      <c r="C274" s="6">
        <v>6.4</v>
      </c>
      <c r="D274" s="6">
        <v>7.8</v>
      </c>
      <c r="E274" s="6">
        <v>13</v>
      </c>
      <c r="F274" s="6" t="s">
        <v>574</v>
      </c>
      <c r="G274" s="10" t="s">
        <v>578</v>
      </c>
      <c r="H274" s="10">
        <v>2530</v>
      </c>
      <c r="I274" s="10"/>
    </row>
    <row r="275" spans="1:9" x14ac:dyDescent="0.3">
      <c r="A275" s="7" t="s">
        <v>579</v>
      </c>
      <c r="B275" s="7">
        <v>1</v>
      </c>
      <c r="C275" s="7">
        <v>6.4</v>
      </c>
      <c r="D275" s="7">
        <v>9.9</v>
      </c>
      <c r="E275" s="7">
        <v>18</v>
      </c>
      <c r="F275" s="7" t="s">
        <v>574</v>
      </c>
      <c r="G275" s="11" t="s">
        <v>580</v>
      </c>
      <c r="H275" s="11">
        <v>3410</v>
      </c>
      <c r="I275" s="11"/>
    </row>
    <row r="276" spans="1:9" x14ac:dyDescent="0.3">
      <c r="A276" s="6" t="s">
        <v>581</v>
      </c>
      <c r="B276" s="6">
        <v>9</v>
      </c>
      <c r="C276" s="6">
        <v>6.1</v>
      </c>
      <c r="D276" s="6">
        <v>15.95</v>
      </c>
      <c r="E276" s="6">
        <v>19</v>
      </c>
      <c r="F276" s="6" t="s">
        <v>574</v>
      </c>
      <c r="G276" s="10" t="s">
        <v>582</v>
      </c>
      <c r="H276" s="10">
        <v>5643.0000000000009</v>
      </c>
      <c r="I276" s="10"/>
    </row>
    <row r="277" spans="1:9" x14ac:dyDescent="0.3">
      <c r="A277" s="7" t="s">
        <v>115</v>
      </c>
      <c r="B277" s="7">
        <v>2</v>
      </c>
      <c r="C277" s="7">
        <v>6.25</v>
      </c>
      <c r="D277" s="7">
        <v>15.9</v>
      </c>
      <c r="E277" s="7">
        <v>22</v>
      </c>
      <c r="F277" s="7" t="s">
        <v>574</v>
      </c>
      <c r="G277" s="11" t="s">
        <v>583</v>
      </c>
      <c r="H277" s="11">
        <v>5643.0000000000009</v>
      </c>
      <c r="I277" s="12" t="s">
        <v>134</v>
      </c>
    </row>
    <row r="278" spans="1:9" x14ac:dyDescent="0.3">
      <c r="A278" s="6" t="s">
        <v>118</v>
      </c>
      <c r="B278" s="6">
        <v>1</v>
      </c>
      <c r="C278" s="6">
        <v>6.3</v>
      </c>
      <c r="D278" s="6">
        <v>8</v>
      </c>
      <c r="E278" s="6">
        <v>12</v>
      </c>
      <c r="F278" s="6" t="s">
        <v>574</v>
      </c>
      <c r="G278" s="10" t="s">
        <v>584</v>
      </c>
      <c r="H278" s="10">
        <v>2662</v>
      </c>
      <c r="I278" s="12" t="s">
        <v>134</v>
      </c>
    </row>
    <row r="279" spans="1:9" x14ac:dyDescent="0.3">
      <c r="A279" s="7" t="s">
        <v>47</v>
      </c>
      <c r="B279" s="7">
        <v>2</v>
      </c>
      <c r="C279" s="7">
        <v>6.3</v>
      </c>
      <c r="D279" s="7">
        <v>16</v>
      </c>
      <c r="E279" s="7">
        <v>22</v>
      </c>
      <c r="F279" s="7" t="s">
        <v>574</v>
      </c>
      <c r="G279" s="11" t="s">
        <v>585</v>
      </c>
      <c r="H279" s="11">
        <v>5643.0000000000009</v>
      </c>
      <c r="I279" s="12" t="s">
        <v>134</v>
      </c>
    </row>
    <row r="280" spans="1:9" x14ac:dyDescent="0.3">
      <c r="A280" s="6" t="s">
        <v>119</v>
      </c>
      <c r="B280" s="6">
        <v>1</v>
      </c>
      <c r="C280" s="6">
        <v>6.3</v>
      </c>
      <c r="D280" s="6">
        <v>8</v>
      </c>
      <c r="E280" s="6">
        <v>12</v>
      </c>
      <c r="F280" s="6" t="s">
        <v>574</v>
      </c>
      <c r="G280" s="10" t="s">
        <v>586</v>
      </c>
      <c r="H280" s="10">
        <v>2662</v>
      </c>
      <c r="I280" s="12" t="s">
        <v>134</v>
      </c>
    </row>
    <row r="281" spans="1:9" x14ac:dyDescent="0.3">
      <c r="A281" s="7" t="s">
        <v>60</v>
      </c>
      <c r="B281" s="7">
        <v>1</v>
      </c>
      <c r="C281" s="7">
        <v>5</v>
      </c>
      <c r="D281" s="7">
        <v>8</v>
      </c>
      <c r="E281" s="7">
        <v>12</v>
      </c>
      <c r="F281" s="7" t="s">
        <v>574</v>
      </c>
      <c r="G281" s="11" t="s">
        <v>587</v>
      </c>
      <c r="H281" s="11">
        <v>5170</v>
      </c>
      <c r="I281" s="12" t="s">
        <v>134</v>
      </c>
    </row>
    <row r="282" spans="1:9" x14ac:dyDescent="0.3">
      <c r="A282" s="6" t="s">
        <v>123</v>
      </c>
      <c r="B282" s="6">
        <v>1</v>
      </c>
      <c r="C282" s="6">
        <v>6</v>
      </c>
      <c r="D282" s="6">
        <v>10</v>
      </c>
      <c r="E282" s="6">
        <v>12.5</v>
      </c>
      <c r="F282" s="6" t="s">
        <v>588</v>
      </c>
      <c r="G282" s="10" t="s">
        <v>589</v>
      </c>
      <c r="H282" s="10">
        <v>5302</v>
      </c>
      <c r="I282" s="12" t="s">
        <v>134</v>
      </c>
    </row>
    <row r="283" spans="1:9" x14ac:dyDescent="0.3">
      <c r="A283" s="7" t="s">
        <v>111</v>
      </c>
      <c r="B283" s="7">
        <v>2</v>
      </c>
      <c r="C283" s="7">
        <v>5</v>
      </c>
      <c r="D283" s="7">
        <v>8</v>
      </c>
      <c r="E283" s="7">
        <v>15</v>
      </c>
      <c r="F283" s="7" t="s">
        <v>156</v>
      </c>
      <c r="G283" s="11" t="s">
        <v>590</v>
      </c>
      <c r="H283" s="11">
        <v>4026</v>
      </c>
      <c r="I283" s="12" t="s">
        <v>134</v>
      </c>
    </row>
    <row r="284" spans="1:9" x14ac:dyDescent="0.3">
      <c r="A284" s="6" t="s">
        <v>61</v>
      </c>
      <c r="B284" s="6">
        <v>1</v>
      </c>
      <c r="C284" s="6">
        <v>5</v>
      </c>
      <c r="D284" s="6">
        <v>8</v>
      </c>
      <c r="E284" s="6">
        <v>12</v>
      </c>
      <c r="F284" s="6" t="s">
        <v>591</v>
      </c>
      <c r="G284" s="10" t="s">
        <v>592</v>
      </c>
      <c r="H284" s="10">
        <v>2530</v>
      </c>
      <c r="I284" s="12" t="s">
        <v>134</v>
      </c>
    </row>
    <row r="285" spans="1:9" x14ac:dyDescent="0.3">
      <c r="A285" s="7" t="s">
        <v>593</v>
      </c>
      <c r="B285" s="7">
        <v>1</v>
      </c>
      <c r="C285" s="7">
        <v>8</v>
      </c>
      <c r="D285" s="7">
        <v>14</v>
      </c>
      <c r="E285" s="7">
        <v>17</v>
      </c>
      <c r="F285" s="7" t="s">
        <v>591</v>
      </c>
      <c r="G285" s="11" t="s">
        <v>521</v>
      </c>
      <c r="H285" s="11">
        <v>5368</v>
      </c>
      <c r="I285" s="11"/>
    </row>
    <row r="286" spans="1:9" x14ac:dyDescent="0.3">
      <c r="A286" s="6" t="s">
        <v>594</v>
      </c>
      <c r="B286" s="6">
        <v>1</v>
      </c>
      <c r="C286" s="6">
        <v>5.9</v>
      </c>
      <c r="D286" s="6">
        <v>8.9</v>
      </c>
      <c r="E286" s="6">
        <v>15</v>
      </c>
      <c r="F286" s="6" t="s">
        <v>591</v>
      </c>
      <c r="G286" s="10" t="s">
        <v>595</v>
      </c>
      <c r="H286" s="10">
        <v>3762</v>
      </c>
      <c r="I286" s="10"/>
    </row>
    <row r="287" spans="1:9" x14ac:dyDescent="0.3">
      <c r="A287" s="7" t="s">
        <v>596</v>
      </c>
      <c r="B287" s="7">
        <v>1</v>
      </c>
      <c r="C287" s="7">
        <v>7.9</v>
      </c>
      <c r="D287" s="7">
        <v>14.4</v>
      </c>
      <c r="E287" s="7">
        <v>17.5</v>
      </c>
      <c r="F287" s="7" t="s">
        <v>591</v>
      </c>
      <c r="G287" s="11" t="s">
        <v>597</v>
      </c>
      <c r="H287" s="11">
        <v>5368</v>
      </c>
      <c r="I287" s="11"/>
    </row>
    <row r="288" spans="1:9" x14ac:dyDescent="0.3">
      <c r="A288" s="6" t="s">
        <v>125</v>
      </c>
      <c r="B288" s="6">
        <v>13</v>
      </c>
      <c r="C288" s="6">
        <v>5</v>
      </c>
      <c r="D288" s="6">
        <v>11</v>
      </c>
      <c r="E288" s="6">
        <v>15</v>
      </c>
      <c r="F288" s="6" t="s">
        <v>591</v>
      </c>
      <c r="G288" s="10" t="s">
        <v>598</v>
      </c>
      <c r="H288" s="10">
        <v>4070</v>
      </c>
      <c r="I288" s="12" t="s">
        <v>134</v>
      </c>
    </row>
    <row r="289" spans="1:9" x14ac:dyDescent="0.3">
      <c r="A289" s="7" t="s">
        <v>599</v>
      </c>
      <c r="B289" s="7">
        <v>1</v>
      </c>
      <c r="C289" s="7">
        <v>5</v>
      </c>
      <c r="D289" s="7">
        <v>8</v>
      </c>
      <c r="E289" s="7">
        <v>13</v>
      </c>
      <c r="F289" s="7" t="s">
        <v>591</v>
      </c>
      <c r="G289" s="11"/>
      <c r="H289" s="11">
        <v>2530</v>
      </c>
      <c r="I289" s="11"/>
    </row>
    <row r="290" spans="1:9" x14ac:dyDescent="0.3">
      <c r="A290" s="6" t="s">
        <v>121</v>
      </c>
      <c r="B290" s="6">
        <v>14</v>
      </c>
      <c r="C290" s="6">
        <v>6</v>
      </c>
      <c r="D290" s="6">
        <v>9</v>
      </c>
      <c r="E290" s="6">
        <v>17</v>
      </c>
      <c r="F290" s="6" t="s">
        <v>600</v>
      </c>
      <c r="G290" s="10" t="s">
        <v>601</v>
      </c>
      <c r="H290" s="10">
        <v>3410</v>
      </c>
      <c r="I290" s="12" t="s">
        <v>134</v>
      </c>
    </row>
    <row r="291" spans="1:9" x14ac:dyDescent="0.3">
      <c r="A291" s="7" t="s">
        <v>602</v>
      </c>
      <c r="B291" s="7"/>
      <c r="C291" s="7">
        <v>5</v>
      </c>
      <c r="D291" s="7">
        <v>13</v>
      </c>
      <c r="E291" s="7">
        <v>15.5</v>
      </c>
      <c r="F291" s="7" t="s">
        <v>600</v>
      </c>
      <c r="G291" s="11" t="s">
        <v>601</v>
      </c>
      <c r="H291" s="11">
        <v>3663</v>
      </c>
      <c r="I291" s="11"/>
    </row>
    <row r="292" spans="1:9" x14ac:dyDescent="0.3">
      <c r="A292" s="6" t="s">
        <v>48</v>
      </c>
      <c r="B292" s="6">
        <v>2</v>
      </c>
      <c r="C292" s="6">
        <v>6.3</v>
      </c>
      <c r="D292" s="6">
        <v>16</v>
      </c>
      <c r="E292" s="6">
        <v>22</v>
      </c>
      <c r="F292" s="6" t="s">
        <v>600</v>
      </c>
      <c r="G292" s="10" t="s">
        <v>603</v>
      </c>
      <c r="H292" s="10">
        <v>4653</v>
      </c>
      <c r="I292" s="12" t="s">
        <v>134</v>
      </c>
    </row>
    <row r="293" spans="1:9" x14ac:dyDescent="0.3">
      <c r="A293" s="7" t="s">
        <v>62</v>
      </c>
      <c r="B293" s="7">
        <v>1</v>
      </c>
      <c r="C293" s="7">
        <v>5</v>
      </c>
      <c r="D293" s="7">
        <v>8</v>
      </c>
      <c r="E293" s="7">
        <v>12</v>
      </c>
      <c r="F293" s="7" t="s">
        <v>604</v>
      </c>
      <c r="G293" s="11" t="s">
        <v>605</v>
      </c>
      <c r="H293" s="11">
        <v>2530</v>
      </c>
      <c r="I293" s="12" t="s">
        <v>134</v>
      </c>
    </row>
    <row r="294" spans="1:9" x14ac:dyDescent="0.3">
      <c r="A294" s="6" t="s">
        <v>606</v>
      </c>
      <c r="B294" s="6">
        <v>3</v>
      </c>
      <c r="C294" s="6">
        <v>6</v>
      </c>
      <c r="D294" s="6">
        <v>8</v>
      </c>
      <c r="E294" s="6">
        <v>16</v>
      </c>
      <c r="F294" s="6" t="s">
        <v>142</v>
      </c>
      <c r="G294" s="10" t="s">
        <v>607</v>
      </c>
      <c r="H294" s="10">
        <v>2783</v>
      </c>
      <c r="I294" s="10"/>
    </row>
    <row r="295" spans="1:9" x14ac:dyDescent="0.3">
      <c r="A295" s="7" t="s">
        <v>608</v>
      </c>
      <c r="B295" s="7">
        <v>10</v>
      </c>
      <c r="C295" s="7">
        <v>7</v>
      </c>
      <c r="D295" s="7">
        <v>11</v>
      </c>
      <c r="E295" s="7">
        <v>30</v>
      </c>
      <c r="F295" s="7" t="s">
        <v>609</v>
      </c>
      <c r="G295" s="11" t="s">
        <v>610</v>
      </c>
      <c r="H295" s="11">
        <v>6171.0000000000009</v>
      </c>
      <c r="I295" s="11"/>
    </row>
    <row r="296" spans="1:9" x14ac:dyDescent="0.3">
      <c r="A296" s="6" t="s">
        <v>611</v>
      </c>
      <c r="B296" s="6">
        <v>10</v>
      </c>
      <c r="C296" s="6">
        <v>6</v>
      </c>
      <c r="D296" s="6">
        <v>9</v>
      </c>
      <c r="E296" s="6">
        <v>35</v>
      </c>
      <c r="F296" s="6" t="s">
        <v>609</v>
      </c>
      <c r="G296" s="10" t="s">
        <v>612</v>
      </c>
      <c r="H296" s="10">
        <v>4642</v>
      </c>
      <c r="I296" s="10"/>
    </row>
    <row r="297" spans="1:9" x14ac:dyDescent="0.3">
      <c r="A297" s="7" t="s">
        <v>613</v>
      </c>
      <c r="B297" s="7">
        <v>10</v>
      </c>
      <c r="C297" s="7">
        <v>7.5</v>
      </c>
      <c r="D297" s="7">
        <v>12</v>
      </c>
      <c r="E297" s="7">
        <v>28</v>
      </c>
      <c r="F297" s="7" t="s">
        <v>609</v>
      </c>
      <c r="G297" s="11" t="s">
        <v>614</v>
      </c>
      <c r="H297" s="11">
        <v>5170</v>
      </c>
      <c r="I297" s="11"/>
    </row>
    <row r="298" spans="1:9" x14ac:dyDescent="0.3">
      <c r="A298" s="6" t="s">
        <v>615</v>
      </c>
      <c r="B298" s="6">
        <v>1</v>
      </c>
      <c r="C298" s="6">
        <v>8</v>
      </c>
      <c r="D298" s="6">
        <v>12</v>
      </c>
      <c r="E298" s="6">
        <v>30</v>
      </c>
      <c r="F298" s="6" t="s">
        <v>609</v>
      </c>
      <c r="G298" s="10" t="s">
        <v>616</v>
      </c>
      <c r="H298" s="10">
        <v>5456</v>
      </c>
      <c r="I298" s="10"/>
    </row>
    <row r="299" spans="1:9" x14ac:dyDescent="0.3">
      <c r="A299" s="7" t="s">
        <v>617</v>
      </c>
      <c r="B299" s="7">
        <v>10</v>
      </c>
      <c r="C299" s="7">
        <v>5</v>
      </c>
      <c r="D299" s="7">
        <v>12.5</v>
      </c>
      <c r="E299" s="7">
        <v>25</v>
      </c>
      <c r="F299" s="7" t="s">
        <v>609</v>
      </c>
      <c r="G299" s="11" t="s">
        <v>618</v>
      </c>
      <c r="H299" s="11">
        <v>5126</v>
      </c>
      <c r="I299" s="11"/>
    </row>
    <row r="300" spans="1:9" x14ac:dyDescent="0.3">
      <c r="A300" s="6" t="s">
        <v>619</v>
      </c>
      <c r="B300" s="6">
        <v>19</v>
      </c>
      <c r="C300" s="6">
        <v>6</v>
      </c>
      <c r="D300" s="6">
        <v>11</v>
      </c>
      <c r="E300" s="6">
        <v>30</v>
      </c>
      <c r="F300" s="6" t="s">
        <v>609</v>
      </c>
      <c r="G300" s="10" t="s">
        <v>620</v>
      </c>
      <c r="H300" s="10">
        <v>5588</v>
      </c>
      <c r="I300" s="10"/>
    </row>
    <row r="301" spans="1:9" x14ac:dyDescent="0.3">
      <c r="A301" s="7" t="s">
        <v>621</v>
      </c>
      <c r="B301" s="7">
        <v>19</v>
      </c>
      <c r="C301" s="7">
        <v>6.5</v>
      </c>
      <c r="D301" s="7">
        <v>11.5</v>
      </c>
      <c r="E301" s="7">
        <v>30</v>
      </c>
      <c r="F301" s="7" t="s">
        <v>609</v>
      </c>
      <c r="G301" s="11" t="s">
        <v>622</v>
      </c>
      <c r="H301" s="11">
        <v>5533</v>
      </c>
      <c r="I301" s="11"/>
    </row>
    <row r="302" spans="1:9" x14ac:dyDescent="0.3">
      <c r="A302" s="6" t="s">
        <v>623</v>
      </c>
      <c r="B302" s="6"/>
      <c r="C302" s="6">
        <v>6</v>
      </c>
      <c r="D302" s="6">
        <v>7.8</v>
      </c>
      <c r="E302" s="6">
        <v>10</v>
      </c>
      <c r="F302" s="6" t="s">
        <v>624</v>
      </c>
      <c r="G302" s="10" t="s">
        <v>625</v>
      </c>
      <c r="H302" s="10">
        <v>3883</v>
      </c>
      <c r="I302" s="10"/>
    </row>
    <row r="303" spans="1:9" x14ac:dyDescent="0.3">
      <c r="A303" s="7" t="s">
        <v>626</v>
      </c>
      <c r="B303" s="7">
        <v>10</v>
      </c>
      <c r="C303" s="7">
        <v>6</v>
      </c>
      <c r="D303" s="7">
        <v>9</v>
      </c>
      <c r="E303" s="7">
        <v>30</v>
      </c>
      <c r="F303" s="7" t="s">
        <v>627</v>
      </c>
      <c r="G303" s="11" t="s">
        <v>628</v>
      </c>
      <c r="H303" s="11">
        <v>5269</v>
      </c>
      <c r="I303" s="11"/>
    </row>
    <row r="304" spans="1:9" x14ac:dyDescent="0.3">
      <c r="A304" s="6" t="s">
        <v>629</v>
      </c>
      <c r="B304" s="6">
        <v>1</v>
      </c>
      <c r="C304" s="6">
        <v>6</v>
      </c>
      <c r="D304" s="6">
        <v>9</v>
      </c>
      <c r="E304" s="6">
        <v>30</v>
      </c>
      <c r="F304" s="6" t="s">
        <v>627</v>
      </c>
      <c r="G304" s="10" t="s">
        <v>630</v>
      </c>
      <c r="H304" s="10">
        <v>5269</v>
      </c>
      <c r="I304" s="10"/>
    </row>
    <row r="305" spans="1:9" x14ac:dyDescent="0.3">
      <c r="A305" s="7" t="s">
        <v>631</v>
      </c>
      <c r="B305" s="7">
        <v>24</v>
      </c>
      <c r="C305" s="7">
        <v>6</v>
      </c>
      <c r="D305" s="7">
        <v>9</v>
      </c>
      <c r="E305" s="7">
        <v>30</v>
      </c>
      <c r="F305" s="7" t="s">
        <v>627</v>
      </c>
      <c r="G305" s="11" t="s">
        <v>632</v>
      </c>
      <c r="H305" s="11">
        <v>5269</v>
      </c>
      <c r="I305" s="11"/>
    </row>
    <row r="306" spans="1:9" x14ac:dyDescent="0.3">
      <c r="A306" s="6" t="s">
        <v>633</v>
      </c>
      <c r="B306" s="6" t="s">
        <v>634</v>
      </c>
      <c r="C306" s="6">
        <v>6</v>
      </c>
      <c r="D306" s="6">
        <v>9</v>
      </c>
      <c r="E306" s="6">
        <v>25</v>
      </c>
      <c r="F306" s="6" t="s">
        <v>627</v>
      </c>
      <c r="G306" s="10" t="s">
        <v>635</v>
      </c>
      <c r="H306" s="10">
        <v>5269</v>
      </c>
      <c r="I306" s="10"/>
    </row>
    <row r="307" spans="1:9" x14ac:dyDescent="0.3">
      <c r="A307" s="7" t="s">
        <v>21</v>
      </c>
      <c r="B307" s="7">
        <v>5</v>
      </c>
      <c r="C307" s="7">
        <v>6</v>
      </c>
      <c r="D307" s="7">
        <v>6</v>
      </c>
      <c r="E307" s="7">
        <v>20</v>
      </c>
      <c r="F307" s="7" t="s">
        <v>636</v>
      </c>
      <c r="G307" s="11" t="s">
        <v>637</v>
      </c>
      <c r="H307" s="11">
        <v>2530</v>
      </c>
      <c r="I307" s="12" t="s">
        <v>134</v>
      </c>
    </row>
    <row r="308" spans="1:9" x14ac:dyDescent="0.3">
      <c r="A308" s="6" t="s">
        <v>638</v>
      </c>
      <c r="B308" s="6">
        <v>5</v>
      </c>
      <c r="C308" s="6">
        <v>6</v>
      </c>
      <c r="D308" s="6">
        <v>8</v>
      </c>
      <c r="E308" s="6">
        <v>20</v>
      </c>
      <c r="F308" s="6" t="s">
        <v>636</v>
      </c>
      <c r="G308" s="10" t="s">
        <v>637</v>
      </c>
      <c r="H308" s="10">
        <v>2783</v>
      </c>
      <c r="I308" s="10"/>
    </row>
    <row r="309" spans="1:9" x14ac:dyDescent="0.3">
      <c r="A309" s="7" t="s">
        <v>23</v>
      </c>
      <c r="B309" s="7">
        <v>10</v>
      </c>
      <c r="C309" s="7">
        <v>6.3</v>
      </c>
      <c r="D309" s="7">
        <v>6.3</v>
      </c>
      <c r="E309" s="7">
        <v>16</v>
      </c>
      <c r="F309" s="7" t="s">
        <v>636</v>
      </c>
      <c r="G309" s="11" t="s">
        <v>637</v>
      </c>
      <c r="H309" s="11">
        <v>3113</v>
      </c>
      <c r="I309" s="12" t="s">
        <v>134</v>
      </c>
    </row>
    <row r="310" spans="1:9" x14ac:dyDescent="0.3">
      <c r="A310" s="6" t="s">
        <v>639</v>
      </c>
      <c r="B310" s="6"/>
      <c r="C310" s="6">
        <v>7</v>
      </c>
      <c r="D310" s="6">
        <v>13</v>
      </c>
      <c r="E310" s="6">
        <v>25</v>
      </c>
      <c r="F310" s="6" t="s">
        <v>640</v>
      </c>
      <c r="G310" s="10" t="s">
        <v>641</v>
      </c>
      <c r="H310" s="10">
        <v>7381.0000000000009</v>
      </c>
      <c r="I310" s="10"/>
    </row>
    <row r="311" spans="1:9" x14ac:dyDescent="0.3">
      <c r="A311" s="7" t="s">
        <v>642</v>
      </c>
      <c r="B311" s="7"/>
      <c r="C311" s="7">
        <v>6</v>
      </c>
      <c r="D311" s="7">
        <v>10</v>
      </c>
      <c r="E311" s="7"/>
      <c r="F311" s="7" t="s">
        <v>640</v>
      </c>
      <c r="G311" s="11" t="s">
        <v>643</v>
      </c>
      <c r="H311" s="11">
        <v>7260.0000000000009</v>
      </c>
      <c r="I311" s="11"/>
    </row>
    <row r="312" spans="1:9" x14ac:dyDescent="0.3">
      <c r="A312" s="6" t="s">
        <v>644</v>
      </c>
      <c r="B312" s="6"/>
      <c r="C312" s="6">
        <v>6.3</v>
      </c>
      <c r="D312" s="6">
        <v>11.3</v>
      </c>
      <c r="E312" s="6">
        <v>25</v>
      </c>
      <c r="F312" s="6" t="s">
        <v>640</v>
      </c>
      <c r="G312" s="10" t="s">
        <v>640</v>
      </c>
      <c r="H312" s="10">
        <v>6116.0000000000009</v>
      </c>
      <c r="I312" s="10"/>
    </row>
    <row r="313" spans="1:9" x14ac:dyDescent="0.3">
      <c r="A313" s="7" t="s">
        <v>645</v>
      </c>
      <c r="B313" s="7">
        <v>10</v>
      </c>
      <c r="C313" s="7">
        <v>6</v>
      </c>
      <c r="D313" s="7">
        <v>6</v>
      </c>
      <c r="E313" s="7">
        <v>25</v>
      </c>
      <c r="F313" s="7" t="s">
        <v>646</v>
      </c>
      <c r="G313" s="11" t="s">
        <v>647</v>
      </c>
      <c r="H313" s="11">
        <v>2530</v>
      </c>
      <c r="I313" s="11"/>
    </row>
    <row r="314" spans="1:9" x14ac:dyDescent="0.3">
      <c r="A314" s="6" t="s">
        <v>648</v>
      </c>
      <c r="B314" s="6">
        <v>5</v>
      </c>
      <c r="C314" s="6">
        <v>3.9</v>
      </c>
      <c r="D314" s="6">
        <v>5.3</v>
      </c>
      <c r="E314" s="6">
        <v>18</v>
      </c>
      <c r="F314" s="6" t="s">
        <v>646</v>
      </c>
      <c r="G314" s="10" t="s">
        <v>649</v>
      </c>
      <c r="H314" s="10">
        <v>2530</v>
      </c>
      <c r="I314" s="10"/>
    </row>
    <row r="315" spans="1:9" x14ac:dyDescent="0.3">
      <c r="A315" s="7" t="s">
        <v>650</v>
      </c>
      <c r="B315" s="7">
        <v>5</v>
      </c>
      <c r="C315" s="7">
        <v>5</v>
      </c>
      <c r="D315" s="7">
        <v>5</v>
      </c>
      <c r="E315" s="7">
        <v>15</v>
      </c>
      <c r="F315" s="7" t="s">
        <v>646</v>
      </c>
      <c r="G315" s="11" t="s">
        <v>651</v>
      </c>
      <c r="H315" s="11">
        <v>2530</v>
      </c>
      <c r="I315" s="11"/>
    </row>
    <row r="316" spans="1:9" x14ac:dyDescent="0.3">
      <c r="A316" s="6" t="s">
        <v>652</v>
      </c>
      <c r="B316" s="6">
        <v>5</v>
      </c>
      <c r="C316" s="6">
        <v>4.75</v>
      </c>
      <c r="D316" s="6">
        <v>4.75</v>
      </c>
      <c r="E316" s="6">
        <v>15</v>
      </c>
      <c r="F316" s="6" t="s">
        <v>646</v>
      </c>
      <c r="G316" s="10" t="s">
        <v>653</v>
      </c>
      <c r="H316" s="10">
        <v>2530</v>
      </c>
      <c r="I316" s="10"/>
    </row>
    <row r="317" spans="1:9" x14ac:dyDescent="0.3">
      <c r="A317" s="7" t="s">
        <v>654</v>
      </c>
      <c r="B317" s="7">
        <v>5</v>
      </c>
      <c r="C317" s="7">
        <v>6.5</v>
      </c>
      <c r="D317" s="7">
        <v>6.5</v>
      </c>
      <c r="E317" s="7">
        <v>14</v>
      </c>
      <c r="F317" s="7" t="s">
        <v>646</v>
      </c>
      <c r="G317" s="11" t="s">
        <v>655</v>
      </c>
      <c r="H317" s="11">
        <v>2530</v>
      </c>
      <c r="I317" s="11"/>
    </row>
    <row r="318" spans="1:9" x14ac:dyDescent="0.3">
      <c r="A318" s="6" t="s">
        <v>656</v>
      </c>
      <c r="B318" s="6">
        <v>5</v>
      </c>
      <c r="C318" s="6">
        <v>5</v>
      </c>
      <c r="D318" s="6">
        <v>6</v>
      </c>
      <c r="E318" s="6">
        <v>14</v>
      </c>
      <c r="F318" s="6" t="s">
        <v>646</v>
      </c>
      <c r="G318" s="10" t="s">
        <v>657</v>
      </c>
      <c r="H318" s="10">
        <v>2530</v>
      </c>
      <c r="I318" s="10"/>
    </row>
    <row r="319" spans="1:9" x14ac:dyDescent="0.3">
      <c r="A319" s="7" t="s">
        <v>658</v>
      </c>
      <c r="B319" s="7">
        <v>5</v>
      </c>
      <c r="C319" s="7">
        <v>4.5</v>
      </c>
      <c r="D319" s="7">
        <v>6</v>
      </c>
      <c r="E319" s="7">
        <v>14</v>
      </c>
      <c r="F319" s="7" t="s">
        <v>646</v>
      </c>
      <c r="G319" s="11" t="s">
        <v>659</v>
      </c>
      <c r="H319" s="11">
        <v>2530</v>
      </c>
      <c r="I319" s="11"/>
    </row>
    <row r="320" spans="1:9" x14ac:dyDescent="0.3">
      <c r="A320" s="6" t="s">
        <v>660</v>
      </c>
      <c r="B320" s="6">
        <v>5</v>
      </c>
      <c r="C320" s="6">
        <v>3.5</v>
      </c>
      <c r="D320" s="6">
        <v>4</v>
      </c>
      <c r="E320" s="6">
        <v>12</v>
      </c>
      <c r="F320" s="6" t="s">
        <v>646</v>
      </c>
      <c r="G320" s="10" t="s">
        <v>661</v>
      </c>
      <c r="H320" s="10">
        <v>3542</v>
      </c>
      <c r="I320" s="10"/>
    </row>
    <row r="321" spans="1:9" x14ac:dyDescent="0.3">
      <c r="A321" s="7" t="s">
        <v>662</v>
      </c>
      <c r="B321" s="7">
        <v>5</v>
      </c>
      <c r="C321" s="7">
        <v>5</v>
      </c>
      <c r="D321" s="7">
        <v>5</v>
      </c>
      <c r="E321" s="7">
        <v>11</v>
      </c>
      <c r="F321" s="7" t="s">
        <v>646</v>
      </c>
      <c r="G321" s="11" t="s">
        <v>663</v>
      </c>
      <c r="H321" s="11">
        <v>2530</v>
      </c>
      <c r="I321" s="11"/>
    </row>
    <row r="322" spans="1:9" x14ac:dyDescent="0.3">
      <c r="A322" s="6" t="s">
        <v>664</v>
      </c>
      <c r="B322" s="6">
        <v>5</v>
      </c>
      <c r="C322" s="6">
        <v>5</v>
      </c>
      <c r="D322" s="6">
        <v>6</v>
      </c>
      <c r="E322" s="6">
        <v>18</v>
      </c>
      <c r="F322" s="6" t="s">
        <v>665</v>
      </c>
      <c r="G322" s="10" t="s">
        <v>666</v>
      </c>
      <c r="H322" s="10">
        <v>2530</v>
      </c>
      <c r="I322" s="10"/>
    </row>
    <row r="323" spans="1:9" x14ac:dyDescent="0.3">
      <c r="A323" s="7" t="s">
        <v>667</v>
      </c>
      <c r="B323" s="7">
        <v>3</v>
      </c>
      <c r="C323" s="7">
        <v>5</v>
      </c>
      <c r="D323" s="7">
        <v>6</v>
      </c>
      <c r="E323" s="7">
        <v>18</v>
      </c>
      <c r="F323" s="7" t="s">
        <v>665</v>
      </c>
      <c r="G323" s="11" t="s">
        <v>647</v>
      </c>
      <c r="H323" s="11">
        <v>2662</v>
      </c>
      <c r="I323" s="11"/>
    </row>
    <row r="324" spans="1:9" x14ac:dyDescent="0.3">
      <c r="A324" s="6" t="s">
        <v>668</v>
      </c>
      <c r="B324" s="6">
        <v>5</v>
      </c>
      <c r="C324" s="6">
        <v>6.5</v>
      </c>
      <c r="D324" s="6">
        <v>9</v>
      </c>
      <c r="E324" s="6">
        <v>16</v>
      </c>
      <c r="F324" s="6" t="s">
        <v>669</v>
      </c>
      <c r="G324" s="10" t="s">
        <v>670</v>
      </c>
      <c r="H324" s="10">
        <v>2662</v>
      </c>
      <c r="I324" s="10"/>
    </row>
    <row r="325" spans="1:9" x14ac:dyDescent="0.3">
      <c r="A325" s="7" t="s">
        <v>671</v>
      </c>
      <c r="B325" s="7">
        <v>5</v>
      </c>
      <c r="C325" s="7">
        <v>4</v>
      </c>
      <c r="D325" s="7">
        <v>4</v>
      </c>
      <c r="E325" s="7">
        <v>9</v>
      </c>
      <c r="F325" s="7" t="s">
        <v>672</v>
      </c>
      <c r="G325" s="11" t="s">
        <v>673</v>
      </c>
      <c r="H325" s="11">
        <v>2662</v>
      </c>
      <c r="I325" s="11"/>
    </row>
    <row r="326" spans="1:9" x14ac:dyDescent="0.3">
      <c r="A326" s="6" t="s">
        <v>674</v>
      </c>
      <c r="B326" s="6">
        <v>7</v>
      </c>
      <c r="C326" s="6">
        <v>2.6</v>
      </c>
      <c r="D326" s="6">
        <v>4</v>
      </c>
      <c r="E326" s="6">
        <v>9</v>
      </c>
      <c r="F326" s="6" t="s">
        <v>675</v>
      </c>
      <c r="G326" s="10" t="s">
        <v>655</v>
      </c>
      <c r="H326" s="10">
        <v>2662</v>
      </c>
      <c r="I326" s="10"/>
    </row>
    <row r="327" spans="1:9" x14ac:dyDescent="0.3">
      <c r="A327" s="7" t="s">
        <v>676</v>
      </c>
      <c r="B327" s="7">
        <v>7</v>
      </c>
      <c r="C327" s="7">
        <v>3</v>
      </c>
      <c r="D327" s="7">
        <v>3</v>
      </c>
      <c r="E327" s="7">
        <v>9</v>
      </c>
      <c r="F327" s="7" t="s">
        <v>675</v>
      </c>
      <c r="G327" s="11" t="s">
        <v>677</v>
      </c>
      <c r="H327" s="11">
        <v>2662</v>
      </c>
      <c r="I327" s="11"/>
    </row>
    <row r="328" spans="1:9" x14ac:dyDescent="0.3">
      <c r="A328" s="6" t="s">
        <v>678</v>
      </c>
      <c r="B328" s="6">
        <v>7</v>
      </c>
      <c r="C328" s="6">
        <v>6.3</v>
      </c>
      <c r="D328" s="6">
        <v>20</v>
      </c>
      <c r="E328" s="6">
        <v>125</v>
      </c>
      <c r="F328" s="6" t="s">
        <v>679</v>
      </c>
      <c r="G328" s="10" t="s">
        <v>680</v>
      </c>
      <c r="H328" s="10">
        <v>6908.0000000000009</v>
      </c>
      <c r="I328" s="10"/>
    </row>
    <row r="329" spans="1:9" x14ac:dyDescent="0.3">
      <c r="A329" s="7" t="s">
        <v>681</v>
      </c>
      <c r="B329" s="7">
        <v>7</v>
      </c>
      <c r="C329" s="7" t="s">
        <v>145</v>
      </c>
      <c r="D329" s="7">
        <v>6</v>
      </c>
      <c r="E329" s="7">
        <v>125</v>
      </c>
      <c r="F329" s="7" t="s">
        <v>679</v>
      </c>
      <c r="G329" s="11" t="s">
        <v>680</v>
      </c>
      <c r="H329" s="11">
        <v>6908.0000000000009</v>
      </c>
      <c r="I329" s="11"/>
    </row>
    <row r="330" spans="1:9" x14ac:dyDescent="0.3">
      <c r="A330" s="6" t="s">
        <v>682</v>
      </c>
      <c r="B330" s="6">
        <v>25</v>
      </c>
      <c r="C330" s="6">
        <v>6</v>
      </c>
      <c r="D330" s="6">
        <v>18</v>
      </c>
      <c r="E330" s="6">
        <v>30</v>
      </c>
      <c r="F330" s="6" t="s">
        <v>683</v>
      </c>
      <c r="G330" s="10" t="s">
        <v>684</v>
      </c>
      <c r="H330" s="10">
        <v>10285</v>
      </c>
      <c r="I330" s="10"/>
    </row>
    <row r="331" spans="1:9" x14ac:dyDescent="0.3">
      <c r="A331" s="7" t="s">
        <v>685</v>
      </c>
      <c r="B331" s="7">
        <v>27</v>
      </c>
      <c r="C331" s="7" t="s">
        <v>686</v>
      </c>
      <c r="D331" s="7">
        <v>18</v>
      </c>
      <c r="E331" s="7">
        <v>25</v>
      </c>
      <c r="F331" s="7" t="s">
        <v>683</v>
      </c>
      <c r="G331" s="11" t="s">
        <v>687</v>
      </c>
      <c r="H331" s="11">
        <v>10285</v>
      </c>
      <c r="I331" s="11"/>
    </row>
    <row r="332" spans="1:9" x14ac:dyDescent="0.3">
      <c r="A332" s="6" t="s">
        <v>688</v>
      </c>
      <c r="B332" s="6">
        <v>26</v>
      </c>
      <c r="C332" s="6" t="s">
        <v>689</v>
      </c>
      <c r="D332" s="6">
        <v>18</v>
      </c>
      <c r="E332" s="6">
        <v>30</v>
      </c>
      <c r="F332" s="6" t="s">
        <v>683</v>
      </c>
      <c r="G332" s="10" t="s">
        <v>690</v>
      </c>
      <c r="H332" s="10">
        <v>10285</v>
      </c>
      <c r="I332" s="10"/>
    </row>
    <row r="333" spans="1:9" x14ac:dyDescent="0.3">
      <c r="A333" s="7" t="s">
        <v>691</v>
      </c>
      <c r="B333" s="7">
        <v>7</v>
      </c>
      <c r="C333" s="7">
        <v>4</v>
      </c>
      <c r="D333" s="7">
        <v>4.5</v>
      </c>
      <c r="E333" s="7">
        <v>16</v>
      </c>
      <c r="F333" s="7" t="s">
        <v>692</v>
      </c>
      <c r="G333" s="11" t="s">
        <v>693</v>
      </c>
      <c r="H333" s="11">
        <v>2530</v>
      </c>
      <c r="I333" s="11"/>
    </row>
    <row r="334" spans="1:9" x14ac:dyDescent="0.3">
      <c r="A334" s="6" t="s">
        <v>694</v>
      </c>
      <c r="B334" s="6">
        <v>5</v>
      </c>
      <c r="C334" s="6">
        <v>4</v>
      </c>
      <c r="D334" s="6">
        <v>4</v>
      </c>
      <c r="E334" s="6">
        <v>17</v>
      </c>
      <c r="F334" s="6" t="s">
        <v>695</v>
      </c>
      <c r="G334" s="10" t="s">
        <v>696</v>
      </c>
      <c r="H334" s="10">
        <v>2530</v>
      </c>
      <c r="I334" s="10"/>
    </row>
    <row r="335" spans="1:9" x14ac:dyDescent="0.3">
      <c r="A335" s="7" t="s">
        <v>697</v>
      </c>
      <c r="B335" s="7">
        <v>5</v>
      </c>
      <c r="C335" s="7">
        <v>5.2</v>
      </c>
      <c r="D335" s="7">
        <v>6.2</v>
      </c>
      <c r="E335" s="7">
        <v>16</v>
      </c>
      <c r="F335" s="7" t="s">
        <v>695</v>
      </c>
      <c r="G335" s="11" t="s">
        <v>698</v>
      </c>
      <c r="H335" s="11">
        <v>2530</v>
      </c>
      <c r="I335" s="11"/>
    </row>
    <row r="336" spans="1:9" x14ac:dyDescent="0.3">
      <c r="A336" s="6" t="s">
        <v>25</v>
      </c>
      <c r="B336" s="6">
        <v>5</v>
      </c>
      <c r="C336" s="6">
        <v>4</v>
      </c>
      <c r="D336" s="6">
        <v>5</v>
      </c>
      <c r="E336" s="6">
        <v>15</v>
      </c>
      <c r="F336" s="6" t="s">
        <v>695</v>
      </c>
      <c r="G336" s="10" t="s">
        <v>699</v>
      </c>
      <c r="H336" s="10">
        <v>2530</v>
      </c>
      <c r="I336" s="12" t="s">
        <v>134</v>
      </c>
    </row>
    <row r="337" spans="1:9" x14ac:dyDescent="0.3">
      <c r="A337" s="7" t="s">
        <v>700</v>
      </c>
      <c r="B337" s="7">
        <v>5</v>
      </c>
      <c r="C337" s="7">
        <v>3.75</v>
      </c>
      <c r="D337" s="7">
        <v>4.75</v>
      </c>
      <c r="E337" s="7">
        <v>15</v>
      </c>
      <c r="F337" s="7" t="s">
        <v>695</v>
      </c>
      <c r="G337" s="11" t="s">
        <v>701</v>
      </c>
      <c r="H337" s="11">
        <v>2530</v>
      </c>
      <c r="I337" s="11"/>
    </row>
    <row r="338" spans="1:9" x14ac:dyDescent="0.3">
      <c r="A338" s="6" t="s">
        <v>27</v>
      </c>
      <c r="B338" s="6">
        <v>5</v>
      </c>
      <c r="C338" s="6">
        <v>6</v>
      </c>
      <c r="D338" s="6" t="s">
        <v>145</v>
      </c>
      <c r="E338" s="6">
        <v>22</v>
      </c>
      <c r="F338" s="6" t="s">
        <v>695</v>
      </c>
      <c r="G338" s="10" t="s">
        <v>702</v>
      </c>
      <c r="H338" s="10">
        <v>2530</v>
      </c>
      <c r="I338" s="12" t="s">
        <v>134</v>
      </c>
    </row>
    <row r="339" spans="1:9" x14ac:dyDescent="0.3">
      <c r="A339" s="7" t="s">
        <v>28</v>
      </c>
      <c r="B339" s="7">
        <v>5</v>
      </c>
      <c r="C339" s="7">
        <v>6</v>
      </c>
      <c r="D339" s="7" t="s">
        <v>145</v>
      </c>
      <c r="E339" s="7">
        <v>22</v>
      </c>
      <c r="F339" s="7" t="s">
        <v>695</v>
      </c>
      <c r="G339" s="11" t="s">
        <v>702</v>
      </c>
      <c r="H339" s="11">
        <v>2530</v>
      </c>
      <c r="I339" s="12" t="s">
        <v>134</v>
      </c>
    </row>
    <row r="340" spans="1:9" x14ac:dyDescent="0.3">
      <c r="A340" s="6" t="s">
        <v>703</v>
      </c>
      <c r="B340" s="6">
        <v>5</v>
      </c>
      <c r="C340" s="6">
        <v>5.3</v>
      </c>
      <c r="D340" s="6" t="s">
        <v>145</v>
      </c>
      <c r="E340" s="6">
        <v>18</v>
      </c>
      <c r="F340" s="6" t="s">
        <v>695</v>
      </c>
      <c r="G340" s="10" t="s">
        <v>704</v>
      </c>
      <c r="H340" s="10">
        <v>2530</v>
      </c>
      <c r="I340" s="10"/>
    </row>
    <row r="341" spans="1:9" x14ac:dyDescent="0.3">
      <c r="A341" s="7" t="s">
        <v>705</v>
      </c>
      <c r="B341" s="7">
        <v>5</v>
      </c>
      <c r="C341" s="7">
        <v>5</v>
      </c>
      <c r="D341" s="7">
        <v>8</v>
      </c>
      <c r="E341" s="7">
        <v>28</v>
      </c>
      <c r="F341" s="7" t="s">
        <v>695</v>
      </c>
      <c r="G341" s="11" t="s">
        <v>706</v>
      </c>
      <c r="H341" s="11">
        <v>2530</v>
      </c>
      <c r="I341" s="11"/>
    </row>
    <row r="342" spans="1:9" x14ac:dyDescent="0.3">
      <c r="A342" s="6" t="s">
        <v>707</v>
      </c>
      <c r="B342" s="6">
        <v>10</v>
      </c>
      <c r="C342" s="6">
        <v>8</v>
      </c>
      <c r="D342" s="6" t="s">
        <v>145</v>
      </c>
      <c r="E342" s="6">
        <v>25</v>
      </c>
      <c r="F342" s="6" t="s">
        <v>708</v>
      </c>
      <c r="G342" s="10" t="s">
        <v>702</v>
      </c>
      <c r="H342" s="10">
        <v>2783</v>
      </c>
      <c r="I342" s="10"/>
    </row>
    <row r="343" spans="1:9" x14ac:dyDescent="0.3">
      <c r="A343" s="7" t="s">
        <v>709</v>
      </c>
      <c r="B343" s="7">
        <v>5</v>
      </c>
      <c r="C343" s="7">
        <v>8</v>
      </c>
      <c r="D343" s="7" t="s">
        <v>145</v>
      </c>
      <c r="E343" s="7">
        <v>25</v>
      </c>
      <c r="F343" s="7" t="s">
        <v>708</v>
      </c>
      <c r="G343" s="11" t="s">
        <v>702</v>
      </c>
      <c r="H343" s="11">
        <v>2783</v>
      </c>
      <c r="I343" s="11"/>
    </row>
    <row r="344" spans="1:9" x14ac:dyDescent="0.3">
      <c r="A344" s="6" t="s">
        <v>710</v>
      </c>
      <c r="B344" s="6">
        <v>10</v>
      </c>
      <c r="C344" s="6">
        <v>7</v>
      </c>
      <c r="D344" s="6" t="s">
        <v>145</v>
      </c>
      <c r="E344" s="6">
        <v>25</v>
      </c>
      <c r="F344" s="6" t="s">
        <v>708</v>
      </c>
      <c r="G344" s="10" t="s">
        <v>702</v>
      </c>
      <c r="H344" s="10">
        <v>2783</v>
      </c>
      <c r="I344" s="10"/>
    </row>
    <row r="345" spans="1:9" x14ac:dyDescent="0.3">
      <c r="A345" s="7" t="s">
        <v>711</v>
      </c>
      <c r="B345" s="7">
        <v>5</v>
      </c>
      <c r="C345" s="7">
        <v>7</v>
      </c>
      <c r="D345" s="7" t="s">
        <v>145</v>
      </c>
      <c r="E345" s="7">
        <v>25</v>
      </c>
      <c r="F345" s="7" t="s">
        <v>708</v>
      </c>
      <c r="G345" s="11" t="s">
        <v>702</v>
      </c>
      <c r="H345" s="11">
        <v>2783</v>
      </c>
      <c r="I345" s="11"/>
    </row>
    <row r="346" spans="1:9" x14ac:dyDescent="0.3">
      <c r="A346" s="6" t="s">
        <v>712</v>
      </c>
      <c r="B346" s="6">
        <v>10</v>
      </c>
      <c r="C346" s="6">
        <v>6.5</v>
      </c>
      <c r="D346" s="6">
        <v>6.5</v>
      </c>
      <c r="E346" s="6">
        <v>30</v>
      </c>
      <c r="F346" s="6" t="s">
        <v>713</v>
      </c>
      <c r="G346" s="10" t="s">
        <v>655</v>
      </c>
      <c r="H346" s="10">
        <v>2783</v>
      </c>
      <c r="I346" s="10"/>
    </row>
    <row r="347" spans="1:9" x14ac:dyDescent="0.3">
      <c r="A347" s="7" t="s">
        <v>22</v>
      </c>
      <c r="B347" s="7">
        <v>5</v>
      </c>
      <c r="C347" s="7">
        <v>6</v>
      </c>
      <c r="D347" s="7">
        <v>6</v>
      </c>
      <c r="E347" s="7">
        <v>20</v>
      </c>
      <c r="F347" s="7" t="s">
        <v>714</v>
      </c>
      <c r="G347" s="11" t="s">
        <v>715</v>
      </c>
      <c r="H347" s="11">
        <v>2783</v>
      </c>
      <c r="I347" s="12" t="s">
        <v>134</v>
      </c>
    </row>
    <row r="348" spans="1:9" x14ac:dyDescent="0.3">
      <c r="A348" s="6" t="s">
        <v>716</v>
      </c>
      <c r="B348" s="6">
        <v>19</v>
      </c>
      <c r="C348" s="6">
        <v>5</v>
      </c>
      <c r="D348" s="6">
        <v>12.5</v>
      </c>
      <c r="E348" s="6">
        <v>35</v>
      </c>
      <c r="F348" s="6" t="s">
        <v>717</v>
      </c>
      <c r="G348" s="10" t="s">
        <v>718</v>
      </c>
      <c r="H348" s="10">
        <v>4279</v>
      </c>
      <c r="I348" s="10"/>
    </row>
    <row r="349" spans="1:9" x14ac:dyDescent="0.3">
      <c r="A349" s="7" t="s">
        <v>719</v>
      </c>
      <c r="B349" s="7">
        <v>19</v>
      </c>
      <c r="C349" s="7">
        <v>5</v>
      </c>
      <c r="D349" s="7">
        <v>13.5</v>
      </c>
      <c r="E349" s="7">
        <v>35</v>
      </c>
      <c r="F349" s="7" t="s">
        <v>717</v>
      </c>
      <c r="G349" s="11" t="s">
        <v>718</v>
      </c>
      <c r="H349" s="11">
        <v>4796</v>
      </c>
      <c r="I349" s="11"/>
    </row>
    <row r="350" spans="1:9" x14ac:dyDescent="0.3">
      <c r="A350" s="6" t="s">
        <v>720</v>
      </c>
      <c r="B350" s="6">
        <v>19</v>
      </c>
      <c r="C350" s="6">
        <v>5</v>
      </c>
      <c r="D350" s="6">
        <v>14.5</v>
      </c>
      <c r="E350" s="6">
        <v>35</v>
      </c>
      <c r="F350" s="6" t="s">
        <v>717</v>
      </c>
      <c r="G350" s="10" t="s">
        <v>718</v>
      </c>
      <c r="H350" s="10">
        <v>4796</v>
      </c>
      <c r="I350" s="10"/>
    </row>
  </sheetData>
  <autoFilter ref="A1:I350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Buscador</vt:lpstr>
      <vt:lpstr>Tabla Equiv</vt:lpstr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Ahmad</cp:lastModifiedBy>
  <dcterms:created xsi:type="dcterms:W3CDTF">2026-06-10T13:19:37Z</dcterms:created>
  <dcterms:modified xsi:type="dcterms:W3CDTF">2026-07-15T02:39:11Z</dcterms:modified>
</cp:coreProperties>
</file>