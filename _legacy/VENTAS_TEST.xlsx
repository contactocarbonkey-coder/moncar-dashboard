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Ventas" sheetId="1" state="visible" r:id="rId1"/>
    <sheet name="LP MONCAR" sheetId="2" state="visible" r:id="rId2"/>
    <sheet name="LP RMH" sheetId="3" state="visible" r:id="rId3"/>
    <sheet name="Costos" sheetId="4" state="visible" r:id="rId4"/>
    <sheet name="Clientes" sheetId="5" state="visible" r:id="rId5"/>
  </sheets>
  <definedNames>
    <definedName name="_xlnm._FilterDatabase" localSheetId="0" hidden="1">'Ventas'!$A$1:$T$523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0.0%"/>
    <numFmt numFmtId="166" formatCode="dd/mm/yyyy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"/>
      <b val="1"/>
      <color rgb="FFFFFFFF"/>
      <sz val="9"/>
    </font>
    <font>
      <name val="Calibri"/>
      <b val="1"/>
      <sz val="9"/>
    </font>
    <font>
      <name val="Calibri"/>
      <b val="1"/>
      <color rgb="FFC55A11"/>
      <sz val="10"/>
    </font>
    <font>
      <name val="Calibri"/>
      <i val="1"/>
      <color rgb="FF595959"/>
      <sz val="9"/>
    </font>
    <font>
      <name val="Arial"/>
      <b val="1"/>
      <color rgb="FF1F3864"/>
      <sz val="11"/>
    </font>
    <font>
      <name val="Arial"/>
      <b val="1"/>
      <color rgb="FF1F3864"/>
      <sz val="9"/>
    </font>
    <font>
      <name val="Arial"/>
      <b val="1"/>
      <color rgb="FF7030A0"/>
      <sz val="10"/>
    </font>
    <font>
      <name val="Arial"/>
      <i val="1"/>
      <color rgb="FF595959"/>
      <sz val="8"/>
    </font>
    <font>
      <name val="Arial"/>
      <b val="1"/>
      <color rgb="FFFFFFFF"/>
      <sz val="9"/>
    </font>
    <font>
      <name val="Arial"/>
      <b val="1"/>
      <color rgb="FFFFFFFF"/>
      <sz val="9"/>
    </font>
    <font>
      <name val="Arial"/>
      <b val="1"/>
      <color rgb="FFFFFFFF"/>
      <sz val="9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FFC55A11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1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12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 vertical="center"/>
    </xf>
    <xf numFmtId="3" fontId="0" fillId="11" borderId="0" applyAlignment="1" pivotButton="0" quotePrefix="0" xfId="0">
      <alignment horizontal="center" vertical="center"/>
    </xf>
    <xf numFmtId="3" fontId="0" fillId="5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9" fontId="0" fillId="8" borderId="0" applyAlignment="1" pivotButton="0" quotePrefix="0" xfId="0">
      <alignment horizontal="center" vertical="center"/>
    </xf>
    <xf numFmtId="9" fontId="0" fillId="9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6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</cellXfs>
  <cellStyles count="1">
    <cellStyle name="Normal" xfId="0" builtinId="0"/>
  </cellStyles>
  <dxfs count="1">
    <dxf>
      <font>
        <b val="1"/>
        <color rgb="FFFFFFFF"/>
      </font>
      <fill>
        <patternFill patternType="solid">
          <fgColor rgb="FFFF4C4C"/>
          <bgColor rgb="FFFF4C4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8575"/>
  <sheetViews>
    <sheetView tabSelected="1" workbookViewId="0">
      <pane xSplit="1" ySplit="1" topLeftCell="B479" activePane="bottomRight" state="frozen"/>
      <selection pane="topRight" activeCell="A1" sqref="A1"/>
      <selection pane="bottomLeft" activeCell="A1" sqref="A1"/>
      <selection pane="bottomRight" activeCell="G494" sqref="G494"/>
    </sheetView>
  </sheetViews>
  <sheetFormatPr baseColWidth="10" defaultColWidth="8.88671875" defaultRowHeight="14.4"/>
  <cols>
    <col width="14" bestFit="1" customWidth="1" style="39" min="1" max="1"/>
    <col width="14.6640625" bestFit="1" customWidth="1" style="39" min="2" max="2"/>
    <col width="10.77734375" bestFit="1" customWidth="1" style="39" min="3" max="4"/>
    <col width="9" customWidth="1" style="39" min="5" max="5"/>
    <col width="12.44140625" bestFit="1" customWidth="1" style="39" min="6" max="6"/>
    <col width="27.21875" bestFit="1" customWidth="1" style="39" min="7" max="7"/>
    <col width="12.21875" bestFit="1" customWidth="1" style="39" min="8" max="8"/>
    <col width="11.6640625" bestFit="1" customWidth="1" style="39" min="9" max="9"/>
    <col width="14.33203125" bestFit="1" customWidth="1" style="39" min="10" max="10"/>
    <col width="13" bestFit="1" customWidth="1" style="39" min="11" max="11"/>
    <col width="32.77734375" bestFit="1" customWidth="1" style="39" min="12" max="12"/>
    <col width="10" customWidth="1" style="39" min="13" max="13"/>
    <col width="12.5546875" bestFit="1" customWidth="1" style="39" min="14" max="14"/>
    <col width="15.44140625" bestFit="1" customWidth="1" style="39" min="15" max="15"/>
    <col width="12.44140625" bestFit="1" customWidth="1" style="39" min="16" max="16"/>
    <col width="20" bestFit="1" customWidth="1" style="39" min="17" max="17"/>
    <col width="14.6640625" bestFit="1" customWidth="1" style="39" min="18" max="18"/>
    <col width="16.88671875" bestFit="1" customWidth="1" style="39" min="19" max="19"/>
    <col width="47.21875" bestFit="1" customWidth="1" style="39" min="20" max="20"/>
  </cols>
  <sheetData>
    <row r="1" ht="31.95" customHeight="1" s="40">
      <c r="A1" s="36" t="inlineStr">
        <is>
          <t>FECHA_CARGA</t>
        </is>
      </c>
      <c r="B1" s="15" t="inlineStr">
        <is>
          <t>N° REMITO</t>
        </is>
      </c>
      <c r="C1" s="15" t="inlineStr">
        <is>
          <t>VENDEDOR</t>
        </is>
      </c>
      <c r="D1" s="15" t="inlineStr">
        <is>
          <t>FECHA</t>
        </is>
      </c>
      <c r="E1" s="15" t="inlineStr">
        <is>
          <t>LÍNEA</t>
        </is>
      </c>
      <c r="F1" s="15" t="inlineStr">
        <is>
          <t>COD</t>
        </is>
      </c>
      <c r="G1" s="15" t="inlineStr">
        <is>
          <t>CANTIDAD</t>
        </is>
      </c>
      <c r="H1" s="15" t="inlineStr">
        <is>
          <t>CLIENTE</t>
        </is>
      </c>
      <c r="I1" s="15" t="inlineStr">
        <is>
          <t>COMIS%</t>
        </is>
      </c>
      <c r="J1" s="15" t="inlineStr">
        <is>
          <t>PRECIO
UNIT</t>
        </is>
      </c>
      <c r="K1" s="15" t="inlineStr">
        <is>
          <t>SUBTOTAL</t>
        </is>
      </c>
      <c r="L1" s="15" t="inlineStr">
        <is>
          <t>AÑO-MES</t>
        </is>
      </c>
      <c r="M1" s="15" t="inlineStr">
        <is>
          <t>COMENTARIOS</t>
        </is>
      </c>
      <c r="N1" s="15" t="inlineStr">
        <is>
          <t>CMV</t>
        </is>
      </c>
      <c r="O1" s="15" t="inlineStr">
        <is>
          <t>MARGEN</t>
        </is>
      </c>
      <c r="P1" s="15" t="inlineStr">
        <is>
          <t>MARCA</t>
        </is>
      </c>
      <c r="Q1" s="15" t="inlineStr">
        <is>
          <t>TIPO
CLIENTE</t>
        </is>
      </c>
      <c r="R1" s="15" t="inlineStr">
        <is>
          <t>ZONA</t>
        </is>
      </c>
      <c r="S1" s="15" t="inlineStr">
        <is>
          <t>LOCALIDAD</t>
        </is>
      </c>
      <c r="T1" s="15" t="inlineStr">
        <is>
          <t>PROVINCIA</t>
        </is>
      </c>
      <c r="U1" s="15" t="inlineStr">
        <is>
          <t>DESCRIPCION</t>
        </is>
      </c>
    </row>
    <row r="2">
      <c r="A2" s="37" t="n"/>
      <c r="B2" s="16" t="n">
        <v>1144</v>
      </c>
      <c r="C2" s="16" t="inlineStr">
        <is>
          <t>Maxi</t>
        </is>
      </c>
      <c r="D2" s="17" t="n">
        <v>45965</v>
      </c>
      <c r="E2" s="16" t="inlineStr">
        <is>
          <t>MONCAR</t>
        </is>
      </c>
      <c r="F2" s="16" t="inlineStr">
        <is>
          <t>CF 671</t>
        </is>
      </c>
      <c r="G2" s="18" t="n">
        <v>5</v>
      </c>
      <c r="H2" s="16" t="inlineStr">
        <is>
          <t>IONLUX</t>
        </is>
      </c>
      <c r="I2" s="19" t="n"/>
      <c r="J2" s="18">
        <f>IF(TRIM(F2)="","",IF(LEFT(TRIM(F2),2)="RM",IFERROR(IF(D2&gt;=DATE(2026,4,1),INDEX('LP RMH'!$F:$F,MATCH(TRIM(F2),'LP RMH'!$A:$A,0)),INDEX('LP RMH'!$E:$E,MATCH(TRIM(F2),'LP RMH'!$A:$A,0))),0),IFERROR(INDEX('LP MONCAR'!$E:$E,MATCH(TRIM(F2),'LP MONCAR'!$A:$A,0)),0)))</f>
        <v/>
      </c>
      <c r="K2" s="18" t="n">
        <v>16550</v>
      </c>
      <c r="L2" s="16" t="inlineStr">
        <is>
          <t>2025-11</t>
        </is>
      </c>
      <c r="M2" s="16" t="n"/>
      <c r="N2" s="20" t="n"/>
      <c r="O2" s="18" t="n"/>
      <c r="P2" s="16" t="inlineStr">
        <is>
          <t>BLACK Y DECKER</t>
        </is>
      </c>
      <c r="Q2" s="16" t="inlineStr">
        <is>
          <t>FERRETERIA</t>
        </is>
      </c>
      <c r="R2" s="16" t="n"/>
      <c r="S2" s="16" t="n"/>
      <c r="T2" s="16" t="n"/>
      <c r="U2" s="21" t="inlineStr">
        <is>
          <t>DESCRIPCION
(auto)</t>
        </is>
      </c>
    </row>
    <row r="3">
      <c r="A3" s="37" t="n"/>
      <c r="B3" s="16" t="n">
        <v>1144</v>
      </c>
      <c r="C3" s="16" t="inlineStr">
        <is>
          <t>Maxi</t>
        </is>
      </c>
      <c r="D3" s="17" t="n">
        <v>45965</v>
      </c>
      <c r="E3" s="16" t="inlineStr">
        <is>
          <t>MONCAR</t>
        </is>
      </c>
      <c r="F3" s="16" t="inlineStr">
        <is>
          <t>CF 020</t>
        </is>
      </c>
      <c r="G3" s="18" t="n">
        <v>15</v>
      </c>
      <c r="H3" s="16" t="inlineStr">
        <is>
          <t>IONLUX</t>
        </is>
      </c>
      <c r="I3" s="19" t="n"/>
      <c r="J3" s="18">
        <f>IF(TRIM(F3)="","",IF(LEFT(TRIM(F3),2)="RM",IFERROR(IF(D3&gt;=DATE(2026,4,1),INDEX('LP RMH'!$F:$F,MATCH(TRIM(F3),'LP RMH'!$A:$A,0)),INDEX('LP RMH'!$E:$E,MATCH(TRIM(F3),'LP RMH'!$A:$A,0))),0),IFERROR(INDEX('LP MONCAR'!$E:$E,MATCH(TRIM(F3),'LP MONCAR'!$A:$A,0)),0)))</f>
        <v/>
      </c>
      <c r="K3" s="18" t="n">
        <v>76950</v>
      </c>
      <c r="L3" s="16" t="inlineStr">
        <is>
          <t>2025-11</t>
        </is>
      </c>
      <c r="M3" s="16" t="n"/>
      <c r="N3" s="20" t="n">
        <v>10298.1465</v>
      </c>
      <c r="O3" s="18" t="n">
        <v>66651.8535</v>
      </c>
      <c r="P3" s="16" t="inlineStr">
        <is>
          <t>BOSCH</t>
        </is>
      </c>
      <c r="Q3" s="16" t="inlineStr">
        <is>
          <t>FERRETERIA</t>
        </is>
      </c>
      <c r="R3" s="16" t="n"/>
      <c r="S3" s="16" t="n"/>
      <c r="T3" s="16" t="n"/>
      <c r="U3" s="16" t="n"/>
    </row>
    <row r="4">
      <c r="A4" s="37" t="n"/>
      <c r="B4" s="16" t="n">
        <v>1144</v>
      </c>
      <c r="C4" s="16" t="inlineStr">
        <is>
          <t>Maxi</t>
        </is>
      </c>
      <c r="D4" s="17" t="n">
        <v>45965</v>
      </c>
      <c r="E4" s="16" t="inlineStr">
        <is>
          <t>MONCAR</t>
        </is>
      </c>
      <c r="F4" s="16" t="inlineStr">
        <is>
          <t>CF 711</t>
        </is>
      </c>
      <c r="G4" s="18" t="n">
        <v>5</v>
      </c>
      <c r="H4" s="16" t="inlineStr">
        <is>
          <t>IONLUX</t>
        </is>
      </c>
      <c r="I4" s="19" t="n"/>
      <c r="J4" s="18">
        <f>IF(TRIM(F4)="","",IF(LEFT(TRIM(F4),2)="RM",IFERROR(IF(D4&gt;=DATE(2026,4,1),INDEX('LP RMH'!$F:$F,MATCH(TRIM(F4),'LP RMH'!$A:$A,0)),INDEX('LP RMH'!$E:$E,MATCH(TRIM(F4),'LP RMH'!$A:$A,0))),0),IFERROR(INDEX('LP MONCAR'!$E:$E,MATCH(TRIM(F4),'LP MONCAR'!$A:$A,0)),0)))</f>
        <v/>
      </c>
      <c r="K4" s="18" t="n">
        <v>15300</v>
      </c>
      <c r="L4" s="16" t="inlineStr">
        <is>
          <t>2025-11</t>
        </is>
      </c>
      <c r="M4" s="16" t="n"/>
      <c r="N4" s="20" t="n">
        <v>2537.2245</v>
      </c>
      <c r="O4" s="18" t="n">
        <v>12762.7755</v>
      </c>
      <c r="P4" s="16" t="inlineStr">
        <is>
          <t>GAMMA</t>
        </is>
      </c>
      <c r="Q4" s="16" t="inlineStr">
        <is>
          <t>FERRETERIA</t>
        </is>
      </c>
      <c r="R4" s="16" t="n"/>
      <c r="S4" s="16" t="n"/>
      <c r="T4" s="16" t="n"/>
      <c r="U4" s="16" t="n"/>
    </row>
    <row r="5">
      <c r="A5" s="37" t="n"/>
      <c r="B5" s="16" t="n">
        <v>1144</v>
      </c>
      <c r="C5" s="16" t="inlineStr">
        <is>
          <t>Maxi</t>
        </is>
      </c>
      <c r="D5" s="17" t="n">
        <v>45965</v>
      </c>
      <c r="E5" s="16" t="inlineStr">
        <is>
          <t>MONCAR</t>
        </is>
      </c>
      <c r="F5" s="16" t="inlineStr">
        <is>
          <t>CF 040</t>
        </is>
      </c>
      <c r="G5" s="18" t="n">
        <v>10</v>
      </c>
      <c r="H5" s="16" t="inlineStr">
        <is>
          <t>IONLUX</t>
        </is>
      </c>
      <c r="I5" s="19" t="n"/>
      <c r="J5" s="18">
        <f>IF(TRIM(F5)="","",IF(LEFT(TRIM(F5),2)="RM",IFERROR(IF(D5&gt;=DATE(2026,4,1),INDEX('LP RMH'!$F:$F,MATCH(TRIM(F5),'LP RMH'!$A:$A,0)),INDEX('LP RMH'!$E:$E,MATCH(TRIM(F5),'LP RMH'!$A:$A,0))),0),IFERROR(INDEX('LP MONCAR'!$E:$E,MATCH(TRIM(F5),'LP MONCAR'!$A:$A,0)),0)))</f>
        <v/>
      </c>
      <c r="K5" s="18" t="n">
        <v>49300</v>
      </c>
      <c r="L5" s="16" t="inlineStr">
        <is>
          <t>2025-11</t>
        </is>
      </c>
      <c r="M5" s="16" t="n"/>
      <c r="N5" s="20" t="n">
        <v>6566.934</v>
      </c>
      <c r="O5" s="18" t="n">
        <v>42733.066</v>
      </c>
      <c r="P5" s="16" t="inlineStr">
        <is>
          <t>HITACHI</t>
        </is>
      </c>
      <c r="Q5" s="16" t="inlineStr">
        <is>
          <t>FERRETERIA</t>
        </is>
      </c>
      <c r="R5" s="16" t="n"/>
      <c r="S5" s="16" t="n"/>
      <c r="T5" s="16" t="n"/>
      <c r="U5" s="16" t="n"/>
    </row>
    <row r="6">
      <c r="A6" s="37" t="n"/>
      <c r="B6" s="16" t="n">
        <v>1144</v>
      </c>
      <c r="C6" s="16" t="inlineStr">
        <is>
          <t>Maxi</t>
        </is>
      </c>
      <c r="D6" s="17" t="n">
        <v>45965</v>
      </c>
      <c r="E6" s="16" t="inlineStr">
        <is>
          <t>MONCAR</t>
        </is>
      </c>
      <c r="F6" s="16" t="inlineStr">
        <is>
          <t>CF 042</t>
        </is>
      </c>
      <c r="G6" s="18" t="n">
        <v>5</v>
      </c>
      <c r="H6" s="16" t="inlineStr">
        <is>
          <t>IONLUX</t>
        </is>
      </c>
      <c r="I6" s="19" t="n"/>
      <c r="J6" s="18">
        <f>IF(TRIM(F6)="","",IF(LEFT(TRIM(F6),2)="RM",IFERROR(IF(D6&gt;=DATE(2026,4,1),INDEX('LP RMH'!$F:$F,MATCH(TRIM(F6),'LP RMH'!$A:$A,0)),INDEX('LP RMH'!$E:$E,MATCH(TRIM(F6),'LP RMH'!$A:$A,0))),0),IFERROR(INDEX('LP MONCAR'!$E:$E,MATCH(TRIM(F6),'LP MONCAR'!$A:$A,0)),0)))</f>
        <v/>
      </c>
      <c r="K6" s="18" t="n">
        <v>25150</v>
      </c>
      <c r="L6" s="16" t="inlineStr">
        <is>
          <t>2025-11</t>
        </is>
      </c>
      <c r="M6" s="16" t="n"/>
      <c r="N6" s="20" t="n">
        <v>3283.467</v>
      </c>
      <c r="O6" s="18" t="n">
        <v>21866.533</v>
      </c>
      <c r="P6" s="16" t="inlineStr">
        <is>
          <t>HITACHI</t>
        </is>
      </c>
      <c r="Q6" s="16" t="inlineStr">
        <is>
          <t>FERRETERIA</t>
        </is>
      </c>
      <c r="R6" s="16" t="n"/>
      <c r="S6" s="16" t="n"/>
      <c r="T6" s="16" t="n"/>
      <c r="U6" s="16" t="n"/>
    </row>
    <row r="7">
      <c r="A7" s="37" t="n"/>
      <c r="B7" s="16" t="n">
        <v>1144</v>
      </c>
      <c r="C7" s="16" t="inlineStr">
        <is>
          <t>Maxi</t>
        </is>
      </c>
      <c r="D7" s="17" t="n">
        <v>45965</v>
      </c>
      <c r="E7" s="16" t="inlineStr">
        <is>
          <t>MONCAR</t>
        </is>
      </c>
      <c r="F7" s="16" t="inlineStr">
        <is>
          <t>CF 658</t>
        </is>
      </c>
      <c r="G7" s="18" t="n">
        <v>5</v>
      </c>
      <c r="H7" s="16" t="inlineStr">
        <is>
          <t>IONLUX</t>
        </is>
      </c>
      <c r="I7" s="19" t="n"/>
      <c r="J7" s="18">
        <f>IF(TRIM(F7)="","",IF(LEFT(TRIM(F7),2)="RM",IFERROR(IF(D7&gt;=DATE(2026,4,1),INDEX('LP RMH'!$F:$F,MATCH(TRIM(F7),'LP RMH'!$A:$A,0)),INDEX('LP RMH'!$E:$E,MATCH(TRIM(F7),'LP RMH'!$A:$A,0))),0),IFERROR(INDEX('LP MONCAR'!$E:$E,MATCH(TRIM(F7),'LP MONCAR'!$A:$A,0)),0)))</f>
        <v/>
      </c>
      <c r="K7" s="18" t="n">
        <v>12650</v>
      </c>
      <c r="L7" s="16" t="inlineStr">
        <is>
          <t>2025-11</t>
        </is>
      </c>
      <c r="M7" s="16" t="n"/>
      <c r="N7" s="20" t="n">
        <v>1641.7335</v>
      </c>
      <c r="O7" s="18" t="n">
        <v>11008.2665</v>
      </c>
      <c r="P7" s="16" t="inlineStr">
        <is>
          <t>SKIL</t>
        </is>
      </c>
      <c r="Q7" s="16" t="inlineStr">
        <is>
          <t>FERRETERIA</t>
        </is>
      </c>
      <c r="R7" s="16" t="n"/>
      <c r="S7" s="16" t="n"/>
      <c r="T7" s="16" t="n"/>
      <c r="U7" s="16" t="n"/>
    </row>
    <row r="8">
      <c r="A8" s="37" t="n"/>
      <c r="B8" s="16" t="n">
        <v>1145</v>
      </c>
      <c r="C8" s="16" t="inlineStr">
        <is>
          <t>Maxi</t>
        </is>
      </c>
      <c r="D8" s="17" t="n">
        <v>45965</v>
      </c>
      <c r="E8" s="16" t="inlineStr">
        <is>
          <t>MONCAR</t>
        </is>
      </c>
      <c r="F8" s="16" t="inlineStr">
        <is>
          <t>CF 665</t>
        </is>
      </c>
      <c r="G8" s="18" t="n">
        <v>4</v>
      </c>
      <c r="H8" s="16" t="inlineStr">
        <is>
          <t>FERRETERIA MAX</t>
        </is>
      </c>
      <c r="I8" s="19" t="n"/>
      <c r="J8" s="18">
        <f>IF(TRIM(F8)="","",IF(LEFT(TRIM(F8),2)="RM",IFERROR(IF(D8&gt;=DATE(2026,4,1),INDEX('LP RMH'!$F:$F,MATCH(TRIM(F8),'LP RMH'!$A:$A,0)),INDEX('LP RMH'!$E:$E,MATCH(TRIM(F8),'LP RMH'!$A:$A,0))),0),IFERROR(INDEX('LP MONCAR'!$E:$E,MATCH(TRIM(F8),'LP MONCAR'!$A:$A,0)),0)))</f>
        <v/>
      </c>
      <c r="K8" s="18" t="n">
        <v>9200</v>
      </c>
      <c r="L8" s="16" t="inlineStr">
        <is>
          <t>2025-11</t>
        </is>
      </c>
      <c r="M8" s="16" t="n"/>
      <c r="N8" s="20" t="n">
        <v>1193.988</v>
      </c>
      <c r="O8" s="18" t="n">
        <v>8006.012</v>
      </c>
      <c r="P8" s="16" t="inlineStr">
        <is>
          <t>BLACK Y DECKER</t>
        </is>
      </c>
      <c r="Q8" s="16" t="inlineStr">
        <is>
          <t>FERRETERIA</t>
        </is>
      </c>
      <c r="R8" s="16" t="inlineStr">
        <is>
          <t>CABA</t>
        </is>
      </c>
      <c r="S8" s="16" t="n"/>
      <c r="T8" s="16" t="n"/>
      <c r="U8" s="16" t="n"/>
    </row>
    <row r="9">
      <c r="A9" s="37" t="n"/>
      <c r="B9" s="16" t="n">
        <v>1145</v>
      </c>
      <c r="C9" s="16" t="inlineStr">
        <is>
          <t>Maxi</t>
        </is>
      </c>
      <c r="D9" s="17" t="n">
        <v>45965</v>
      </c>
      <c r="E9" s="16" t="inlineStr">
        <is>
          <t>MONCAR</t>
        </is>
      </c>
      <c r="F9" s="16" t="inlineStr">
        <is>
          <t>CF 190</t>
        </is>
      </c>
      <c r="G9" s="18" t="n">
        <v>2</v>
      </c>
      <c r="H9" s="16" t="inlineStr">
        <is>
          <t>FERRETERIA MAX</t>
        </is>
      </c>
      <c r="I9" s="19" t="n"/>
      <c r="J9" s="18">
        <f>IF(TRIM(F9)="","",IF(LEFT(TRIM(F9),2)="RM",IFERROR(IF(D9&gt;=DATE(2026,4,1),INDEX('LP RMH'!$F:$F,MATCH(TRIM(F9),'LP RMH'!$A:$A,0)),INDEX('LP RMH'!$E:$E,MATCH(TRIM(F9),'LP RMH'!$A:$A,0))),0),IFERROR(INDEX('LP MONCAR'!$E:$E,MATCH(TRIM(F9),'LP MONCAR'!$A:$A,0)),0)))</f>
        <v/>
      </c>
      <c r="K9" s="18" t="n">
        <v>6840</v>
      </c>
      <c r="L9" s="16" t="inlineStr">
        <is>
          <t>2025-11</t>
        </is>
      </c>
      <c r="M9" s="16" t="n"/>
      <c r="N9" s="20" t="n">
        <v>895.491</v>
      </c>
      <c r="O9" s="18" t="n">
        <v>5944.509</v>
      </c>
      <c r="P9" s="16" t="inlineStr">
        <is>
          <t>DE WALT</t>
        </is>
      </c>
      <c r="Q9" s="16" t="inlineStr">
        <is>
          <t>FERRETERIA</t>
        </is>
      </c>
      <c r="R9" s="16" t="inlineStr">
        <is>
          <t>CABA</t>
        </is>
      </c>
      <c r="S9" s="16" t="n"/>
      <c r="T9" s="16" t="n"/>
      <c r="U9" s="16" t="n"/>
    </row>
    <row r="10">
      <c r="A10" s="37" t="n"/>
      <c r="B10" s="16" t="n">
        <v>1145</v>
      </c>
      <c r="C10" s="16" t="inlineStr">
        <is>
          <t>Maxi</t>
        </is>
      </c>
      <c r="D10" s="17" t="n">
        <v>45965</v>
      </c>
      <c r="E10" s="16" t="inlineStr">
        <is>
          <t>MONCAR</t>
        </is>
      </c>
      <c r="F10" s="16" t="inlineStr">
        <is>
          <t>CF 711</t>
        </is>
      </c>
      <c r="G10" s="18" t="n">
        <v>2</v>
      </c>
      <c r="H10" s="16" t="inlineStr">
        <is>
          <t>FERRETERIA MAX</t>
        </is>
      </c>
      <c r="I10" s="19" t="n"/>
      <c r="J10" s="18">
        <f>IF(TRIM(F10)="","",IF(LEFT(TRIM(F10),2)="RM",IFERROR(IF(D10&gt;=DATE(2026,4,1),INDEX('LP RMH'!$F:$F,MATCH(TRIM(F10),'LP RMH'!$A:$A,0)),INDEX('LP RMH'!$E:$E,MATCH(TRIM(F10),'LP RMH'!$A:$A,0))),0),IFERROR(INDEX('LP MONCAR'!$E:$E,MATCH(TRIM(F10),'LP MONCAR'!$A:$A,0)),0)))</f>
        <v/>
      </c>
      <c r="K10" s="18" t="n">
        <v>6120</v>
      </c>
      <c r="L10" s="16" t="inlineStr">
        <is>
          <t>2025-11</t>
        </is>
      </c>
      <c r="M10" s="16" t="n"/>
      <c r="N10" s="20" t="n">
        <v>1014.8898</v>
      </c>
      <c r="O10" s="18" t="n">
        <v>5105.1102</v>
      </c>
      <c r="P10" s="16" t="inlineStr">
        <is>
          <t>GAMMA</t>
        </is>
      </c>
      <c r="Q10" s="16" t="inlineStr">
        <is>
          <t>FERRETERIA</t>
        </is>
      </c>
      <c r="R10" s="16" t="inlineStr">
        <is>
          <t>CABA</t>
        </is>
      </c>
      <c r="S10" s="16" t="n"/>
      <c r="T10" s="16" t="n"/>
      <c r="U10" s="16" t="n"/>
    </row>
    <row r="11">
      <c r="A11" s="37" t="n"/>
      <c r="B11" s="16" t="n">
        <v>1145</v>
      </c>
      <c r="C11" s="16" t="inlineStr">
        <is>
          <t>Maxi</t>
        </is>
      </c>
      <c r="D11" s="17" t="n">
        <v>45965</v>
      </c>
      <c r="E11" s="16" t="inlineStr">
        <is>
          <t>MONCAR</t>
        </is>
      </c>
      <c r="F11" s="16" t="inlineStr">
        <is>
          <t>CF 661</t>
        </is>
      </c>
      <c r="G11" s="18" t="n">
        <v>2</v>
      </c>
      <c r="H11" s="16" t="inlineStr">
        <is>
          <t>FERRETERIA MAX</t>
        </is>
      </c>
      <c r="I11" s="19" t="n"/>
      <c r="J11" s="18">
        <f>IF(TRIM(F11)="","",IF(LEFT(TRIM(F11),2)="RM",IFERROR(IF(D11&gt;=DATE(2026,4,1),INDEX('LP RMH'!$F:$F,MATCH(TRIM(F11),'LP RMH'!$A:$A,0)),INDEX('LP RMH'!$E:$E,MATCH(TRIM(F11),'LP RMH'!$A:$A,0))),0),IFERROR(INDEX('LP MONCAR'!$E:$E,MATCH(TRIM(F11),'LP MONCAR'!$A:$A,0)),0)))</f>
        <v/>
      </c>
      <c r="K11" s="18" t="n">
        <v>6840</v>
      </c>
      <c r="L11" s="16" t="inlineStr">
        <is>
          <t>2025-11</t>
        </is>
      </c>
      <c r="M11" s="16" t="n"/>
      <c r="N11" s="20" t="n">
        <v>895.491</v>
      </c>
      <c r="O11" s="18" t="n">
        <v>5944.509</v>
      </c>
      <c r="P11" s="16" t="inlineStr">
        <is>
          <t>SKIL</t>
        </is>
      </c>
      <c r="Q11" s="16" t="inlineStr">
        <is>
          <t>FERRETERIA</t>
        </is>
      </c>
      <c r="R11" s="16" t="inlineStr">
        <is>
          <t>CABA</t>
        </is>
      </c>
      <c r="S11" s="16" t="n"/>
      <c r="T11" s="16" t="n"/>
      <c r="U11" s="16" t="n"/>
    </row>
    <row r="12">
      <c r="A12" s="37" t="n"/>
      <c r="B12" s="16" t="n">
        <v>1146</v>
      </c>
      <c r="C12" s="16" t="inlineStr">
        <is>
          <t>Maxi</t>
        </is>
      </c>
      <c r="D12" s="17" t="n">
        <v>45967</v>
      </c>
      <c r="E12" s="16" t="inlineStr">
        <is>
          <t>MONCAR</t>
        </is>
      </c>
      <c r="F12" s="16" t="inlineStr">
        <is>
          <t>CF 665</t>
        </is>
      </c>
      <c r="G12" s="18" t="n">
        <v>6</v>
      </c>
      <c r="H12" s="16" t="inlineStr">
        <is>
          <t>MAQTOOLS</t>
        </is>
      </c>
      <c r="I12" s="19" t="n"/>
      <c r="J12" s="18">
        <f>IF(TRIM(F12)="","",IF(LEFT(TRIM(F12),2)="RM",IFERROR(IF(D12&gt;=DATE(2026,4,1),INDEX('LP RMH'!$F:$F,MATCH(TRIM(F12),'LP RMH'!$A:$A,0)),INDEX('LP RMH'!$E:$E,MATCH(TRIM(F12),'LP RMH'!$A:$A,0))),0),IFERROR(INDEX('LP MONCAR'!$E:$E,MATCH(TRIM(F12),'LP MONCAR'!$A:$A,0)),0)))</f>
        <v/>
      </c>
      <c r="K12" s="18" t="n">
        <v>13800</v>
      </c>
      <c r="L12" s="16" t="inlineStr">
        <is>
          <t>2025-11</t>
        </is>
      </c>
      <c r="M12" s="16" t="n"/>
      <c r="N12" s="20" t="n">
        <v>1790.982</v>
      </c>
      <c r="O12" s="18" t="n">
        <v>12009.018</v>
      </c>
      <c r="P12" s="16" t="inlineStr">
        <is>
          <t>BLACK Y DECKER</t>
        </is>
      </c>
      <c r="Q12" s="16" t="inlineStr">
        <is>
          <t>FERRETERIA</t>
        </is>
      </c>
      <c r="R12" s="16" t="inlineStr">
        <is>
          <t>CABA</t>
        </is>
      </c>
      <c r="S12" s="16" t="n"/>
      <c r="T12" s="16" t="n"/>
      <c r="U12" s="16" t="n"/>
    </row>
    <row r="13">
      <c r="A13" s="37" t="n"/>
      <c r="B13" s="16" t="n">
        <v>1146</v>
      </c>
      <c r="C13" s="16" t="inlineStr">
        <is>
          <t>Maxi</t>
        </is>
      </c>
      <c r="D13" s="17" t="n">
        <v>45967</v>
      </c>
      <c r="E13" s="16" t="inlineStr">
        <is>
          <t>MONCAR</t>
        </is>
      </c>
      <c r="F13" s="16" t="inlineStr">
        <is>
          <t>CF 180</t>
        </is>
      </c>
      <c r="G13" s="18" t="n">
        <v>2</v>
      </c>
      <c r="H13" s="16" t="inlineStr">
        <is>
          <t>MAQTOOLS</t>
        </is>
      </c>
      <c r="I13" s="19" t="n"/>
      <c r="J13" s="18">
        <f>IF(TRIM(F13)="","",IF(LEFT(TRIM(F13),2)="RM",IFERROR(IF(D13&gt;=DATE(2026,4,1),INDEX('LP RMH'!$F:$F,MATCH(TRIM(F13),'LP RMH'!$A:$A,0)),INDEX('LP RMH'!$E:$E,MATCH(TRIM(F13),'LP RMH'!$A:$A,0))),0),IFERROR(INDEX('LP MONCAR'!$E:$E,MATCH(TRIM(F13),'LP MONCAR'!$A:$A,0)),0)))</f>
        <v/>
      </c>
      <c r="K13" s="18" t="n">
        <v>8280</v>
      </c>
      <c r="L13" s="16" t="inlineStr">
        <is>
          <t>2025-11</t>
        </is>
      </c>
      <c r="M13" s="16" t="n"/>
      <c r="N13" s="20" t="n">
        <v>1074.5892</v>
      </c>
      <c r="O13" s="18" t="n">
        <v>7205.4108</v>
      </c>
      <c r="P13" s="16" t="inlineStr">
        <is>
          <t>DE WALT</t>
        </is>
      </c>
      <c r="Q13" s="16" t="inlineStr">
        <is>
          <t>FERRETERIA</t>
        </is>
      </c>
      <c r="R13" s="16" t="inlineStr">
        <is>
          <t>CABA</t>
        </is>
      </c>
      <c r="S13" s="16" t="n"/>
      <c r="T13" s="16" t="n"/>
      <c r="U13" s="16" t="n"/>
    </row>
    <row r="14">
      <c r="A14" s="37" t="n"/>
      <c r="B14" s="16" t="n">
        <v>1146</v>
      </c>
      <c r="C14" s="16" t="inlineStr">
        <is>
          <t>Maxi</t>
        </is>
      </c>
      <c r="D14" s="17" t="n">
        <v>45967</v>
      </c>
      <c r="E14" s="16" t="inlineStr">
        <is>
          <t>MONCAR</t>
        </is>
      </c>
      <c r="F14" s="16" t="inlineStr">
        <is>
          <t>CF 183</t>
        </is>
      </c>
      <c r="G14" s="18" t="n">
        <v>2</v>
      </c>
      <c r="H14" s="16" t="inlineStr">
        <is>
          <t>MAQTOOLS</t>
        </is>
      </c>
      <c r="I14" s="19" t="n"/>
      <c r="J14" s="18">
        <f>IF(TRIM(F14)="","",IF(LEFT(TRIM(F14),2)="RM",IFERROR(IF(D14&gt;=DATE(2026,4,1),INDEX('LP RMH'!$F:$F,MATCH(TRIM(F14),'LP RMH'!$A:$A,0)),INDEX('LP RMH'!$E:$E,MATCH(TRIM(F14),'LP RMH'!$A:$A,0))),0),IFERROR(INDEX('LP MONCAR'!$E:$E,MATCH(TRIM(F14),'LP MONCAR'!$A:$A,0)),0)))</f>
        <v/>
      </c>
      <c r="K14" s="18" t="n">
        <v>10600</v>
      </c>
      <c r="L14" s="16" t="inlineStr">
        <is>
          <t>2025-11</t>
        </is>
      </c>
      <c r="M14" s="16" t="n"/>
      <c r="N14" s="20" t="n">
        <v>1373.0862</v>
      </c>
      <c r="O14" s="18" t="n">
        <v>9226.9138</v>
      </c>
      <c r="P14" s="16" t="inlineStr">
        <is>
          <t>DE WALT</t>
        </is>
      </c>
      <c r="Q14" s="16" t="inlineStr">
        <is>
          <t>FERRETERIA</t>
        </is>
      </c>
      <c r="R14" s="16" t="inlineStr">
        <is>
          <t>CABA</t>
        </is>
      </c>
      <c r="S14" s="16" t="n"/>
      <c r="T14" s="16" t="n"/>
      <c r="U14" s="16" t="n"/>
    </row>
    <row r="15">
      <c r="A15" s="37" t="n"/>
      <c r="B15" s="16" t="n">
        <v>1146</v>
      </c>
      <c r="C15" s="16" t="inlineStr">
        <is>
          <t>Maxi</t>
        </is>
      </c>
      <c r="D15" s="17" t="n">
        <v>45967</v>
      </c>
      <c r="E15" s="16" t="inlineStr">
        <is>
          <t>MONCAR</t>
        </is>
      </c>
      <c r="F15" s="16" t="inlineStr">
        <is>
          <t>CF 192</t>
        </is>
      </c>
      <c r="G15" s="18" t="n">
        <v>2</v>
      </c>
      <c r="H15" s="16" t="inlineStr">
        <is>
          <t>MAQTOOLS</t>
        </is>
      </c>
      <c r="I15" s="19" t="n"/>
      <c r="J15" s="18">
        <f>IF(TRIM(F15)="","",IF(LEFT(TRIM(F15),2)="RM",IFERROR(IF(D15&gt;=DATE(2026,4,1),INDEX('LP RMH'!$F:$F,MATCH(TRIM(F15),'LP RMH'!$A:$A,0)),INDEX('LP RMH'!$E:$E,MATCH(TRIM(F15),'LP RMH'!$A:$A,0))),0),IFERROR(INDEX('LP MONCAR'!$E:$E,MATCH(TRIM(F15),'LP MONCAR'!$A:$A,0)),0)))</f>
        <v/>
      </c>
      <c r="K15" s="18" t="n">
        <v>6440</v>
      </c>
      <c r="L15" s="16" t="inlineStr">
        <is>
          <t>2025-11</t>
        </is>
      </c>
      <c r="M15" s="16" t="n"/>
      <c r="N15" s="20" t="n">
        <v>835.7916000000001</v>
      </c>
      <c r="O15" s="18" t="n">
        <v>5604.2084</v>
      </c>
      <c r="P15" s="16" t="inlineStr">
        <is>
          <t>DE WALT</t>
        </is>
      </c>
      <c r="Q15" s="16" t="inlineStr">
        <is>
          <t>FERRETERIA</t>
        </is>
      </c>
      <c r="R15" s="16" t="inlineStr">
        <is>
          <t>CABA</t>
        </is>
      </c>
      <c r="S15" s="16" t="n"/>
      <c r="T15" s="16" t="n"/>
      <c r="U15" s="16" t="n"/>
    </row>
    <row r="16">
      <c r="A16" s="37" t="n"/>
      <c r="B16" s="16" t="n">
        <v>1146</v>
      </c>
      <c r="C16" s="16" t="inlineStr">
        <is>
          <t>Maxi</t>
        </is>
      </c>
      <c r="D16" s="17" t="n">
        <v>45967</v>
      </c>
      <c r="E16" s="16" t="inlineStr">
        <is>
          <t>MONCAR</t>
        </is>
      </c>
      <c r="F16" s="16" t="inlineStr">
        <is>
          <t>CF 002</t>
        </is>
      </c>
      <c r="G16" s="18" t="n">
        <v>4</v>
      </c>
      <c r="H16" s="16" t="inlineStr">
        <is>
          <t>MAQTOOLS</t>
        </is>
      </c>
      <c r="I16" s="19" t="n"/>
      <c r="J16" s="18">
        <f>IF(TRIM(F16)="","",IF(LEFT(TRIM(F16),2)="RM",IFERROR(IF(D16&gt;=DATE(2026,4,1),INDEX('LP RMH'!$F:$F,MATCH(TRIM(F16),'LP RMH'!$A:$A,0)),INDEX('LP RMH'!$E:$E,MATCH(TRIM(F16),'LP RMH'!$A:$A,0))),0),IFERROR(INDEX('LP MONCAR'!$E:$E,MATCH(TRIM(F16),'LP MONCAR'!$A:$A,0)),0)))</f>
        <v/>
      </c>
      <c r="K16" s="18" t="n">
        <v>12880</v>
      </c>
      <c r="L16" s="16" t="inlineStr">
        <is>
          <t>2025-11</t>
        </is>
      </c>
      <c r="M16" s="16" t="n"/>
      <c r="N16" s="20" t="n">
        <v>1671.5832</v>
      </c>
      <c r="O16" s="18" t="n">
        <v>11208.4168</v>
      </c>
      <c r="P16" s="16" t="inlineStr">
        <is>
          <t>DOWEN PAGGIO</t>
        </is>
      </c>
      <c r="Q16" s="16" t="inlineStr">
        <is>
          <t>FERRETERIA</t>
        </is>
      </c>
      <c r="R16" s="16" t="inlineStr">
        <is>
          <t>CABA</t>
        </is>
      </c>
      <c r="S16" s="16" t="n"/>
      <c r="T16" s="16" t="n"/>
      <c r="U16" s="16" t="n"/>
    </row>
    <row r="17">
      <c r="A17" s="37" t="n"/>
      <c r="B17" s="16" t="n">
        <v>1146</v>
      </c>
      <c r="C17" s="16" t="inlineStr">
        <is>
          <t>Maxi</t>
        </is>
      </c>
      <c r="D17" s="17" t="n">
        <v>45967</v>
      </c>
      <c r="E17" s="16" t="inlineStr">
        <is>
          <t>MONCAR</t>
        </is>
      </c>
      <c r="F17" s="16" t="inlineStr">
        <is>
          <t>CF 752</t>
        </is>
      </c>
      <c r="G17" s="18" t="n">
        <v>1</v>
      </c>
      <c r="H17" s="16" t="inlineStr">
        <is>
          <t>MAQTOOLS</t>
        </is>
      </c>
      <c r="I17" s="19" t="n"/>
      <c r="J17" s="18">
        <f>IF(TRIM(F17)="","",IF(LEFT(TRIM(F17),2)="RM",IFERROR(IF(D17&gt;=DATE(2026,4,1),INDEX('LP RMH'!$F:$F,MATCH(TRIM(F17),'LP RMH'!$A:$A,0)),INDEX('LP RMH'!$E:$E,MATCH(TRIM(F17),'LP RMH'!$A:$A,0))),0),IFERROR(INDEX('LP MONCAR'!$E:$E,MATCH(TRIM(F17),'LP MONCAR'!$A:$A,0)),0)))</f>
        <v/>
      </c>
      <c r="K17" s="18" t="n">
        <v>4380</v>
      </c>
      <c r="L17" s="16" t="inlineStr">
        <is>
          <t>2025-11</t>
        </is>
      </c>
      <c r="M17" s="16" t="n"/>
      <c r="N17" s="20" t="n">
        <v>567.1442999999999</v>
      </c>
      <c r="O17" s="18" t="n">
        <v>3812.8557</v>
      </c>
      <c r="P17" s="16" t="inlineStr">
        <is>
          <t>DOWEN PAGGIO</t>
        </is>
      </c>
      <c r="Q17" s="16" t="inlineStr">
        <is>
          <t>FERRETERIA</t>
        </is>
      </c>
      <c r="R17" s="16" t="inlineStr">
        <is>
          <t>CABA</t>
        </is>
      </c>
      <c r="S17" s="16" t="n"/>
      <c r="T17" s="16" t="n"/>
      <c r="U17" s="16" t="n"/>
    </row>
    <row r="18">
      <c r="A18" s="37" t="n"/>
      <c r="B18" s="16" t="n">
        <v>1146</v>
      </c>
      <c r="C18" s="16" t="inlineStr">
        <is>
          <t>Maxi</t>
        </is>
      </c>
      <c r="D18" s="17" t="n">
        <v>45967</v>
      </c>
      <c r="E18" s="16" t="inlineStr">
        <is>
          <t>MONCAR</t>
        </is>
      </c>
      <c r="F18" s="16" t="inlineStr">
        <is>
          <t>CF 040</t>
        </is>
      </c>
      <c r="G18" s="18" t="n">
        <v>2</v>
      </c>
      <c r="H18" s="16" t="inlineStr">
        <is>
          <t>MAQTOOLS</t>
        </is>
      </c>
      <c r="I18" s="19" t="n"/>
      <c r="J18" s="18">
        <f>IF(TRIM(F18)="","",IF(LEFT(TRIM(F18),2)="RM",IFERROR(IF(D18&gt;=DATE(2026,4,1),INDEX('LP RMH'!$F:$F,MATCH(TRIM(F18),'LP RMH'!$A:$A,0)),INDEX('LP RMH'!$E:$E,MATCH(TRIM(F18),'LP RMH'!$A:$A,0))),0),IFERROR(INDEX('LP MONCAR'!$E:$E,MATCH(TRIM(F18),'LP MONCAR'!$A:$A,0)),0)))</f>
        <v/>
      </c>
      <c r="K18" s="18" t="n">
        <v>9860</v>
      </c>
      <c r="L18" s="16" t="inlineStr">
        <is>
          <t>2025-11</t>
        </is>
      </c>
      <c r="M18" s="16" t="n"/>
      <c r="N18" s="20" t="n">
        <v>1313.3868</v>
      </c>
      <c r="O18" s="18" t="n">
        <v>8546.6132</v>
      </c>
      <c r="P18" s="16" t="inlineStr">
        <is>
          <t>HITACHI</t>
        </is>
      </c>
      <c r="Q18" s="16" t="inlineStr">
        <is>
          <t>FERRETERIA</t>
        </is>
      </c>
      <c r="R18" s="16" t="inlineStr">
        <is>
          <t>CABA</t>
        </is>
      </c>
      <c r="S18" s="16" t="n"/>
      <c r="T18" s="16" t="n"/>
      <c r="U18" s="16" t="n"/>
    </row>
    <row r="19">
      <c r="A19" s="37" t="n"/>
      <c r="B19" s="16" t="n">
        <v>1146</v>
      </c>
      <c r="C19" s="16" t="inlineStr">
        <is>
          <t>Maxi</t>
        </is>
      </c>
      <c r="D19" s="17" t="n">
        <v>45967</v>
      </c>
      <c r="E19" s="16" t="inlineStr">
        <is>
          <t>MONCAR</t>
        </is>
      </c>
      <c r="F19" s="16" t="inlineStr">
        <is>
          <t>CF 056</t>
        </is>
      </c>
      <c r="G19" s="18" t="n">
        <v>3</v>
      </c>
      <c r="H19" s="16" t="inlineStr">
        <is>
          <t>MAQTOOLS</t>
        </is>
      </c>
      <c r="I19" s="19" t="n"/>
      <c r="J19" s="18">
        <f>IF(TRIM(F19)="","",IF(LEFT(TRIM(F19),2)="RM",IFERROR(IF(D19&gt;=DATE(2026,4,1),INDEX('LP RMH'!$F:$F,MATCH(TRIM(F19),'LP RMH'!$A:$A,0)),INDEX('LP RMH'!$E:$E,MATCH(TRIM(F19),'LP RMH'!$A:$A,0))),0),IFERROR(INDEX('LP MONCAR'!$E:$E,MATCH(TRIM(F19),'LP MONCAR'!$A:$A,0)),0)))</f>
        <v/>
      </c>
      <c r="K19" s="18" t="n">
        <v>15510</v>
      </c>
      <c r="L19" s="16" t="inlineStr">
        <is>
          <t>2025-11</t>
        </is>
      </c>
      <c r="M19" s="16" t="n"/>
      <c r="N19" s="20" t="n">
        <v>2059.6293</v>
      </c>
      <c r="O19" s="18" t="n">
        <v>13450.3707</v>
      </c>
      <c r="P19" s="16" t="inlineStr">
        <is>
          <t>MAKITA</t>
        </is>
      </c>
      <c r="Q19" s="16" t="inlineStr">
        <is>
          <t>FERRETERIA</t>
        </is>
      </c>
      <c r="R19" s="16" t="inlineStr">
        <is>
          <t>CABA</t>
        </is>
      </c>
      <c r="S19" s="16" t="n"/>
      <c r="T19" s="16" t="n"/>
      <c r="U19" s="16" t="n"/>
    </row>
    <row r="20">
      <c r="A20" s="37" t="n"/>
      <c r="B20" s="16" t="n">
        <v>1121</v>
      </c>
      <c r="C20" s="16" t="inlineStr">
        <is>
          <t>Maxi</t>
        </is>
      </c>
      <c r="D20" s="17" t="n">
        <v>45958</v>
      </c>
      <c r="E20" s="16" t="inlineStr">
        <is>
          <t>MONCAR</t>
        </is>
      </c>
      <c r="F20" s="16" t="inlineStr">
        <is>
          <t>CF 665</t>
        </is>
      </c>
      <c r="G20" s="18" t="n">
        <v>15</v>
      </c>
      <c r="H20" s="16" t="inlineStr">
        <is>
          <t>AYL MAQUINAS</t>
        </is>
      </c>
      <c r="I20" s="19" t="n"/>
      <c r="J20" s="18">
        <f>IF(TRIM(F20)="","",IF(LEFT(TRIM(F20),2)="RM",IFERROR(IF(D20&gt;=DATE(2026,4,1),INDEX('LP RMH'!$F:$F,MATCH(TRIM(F20),'LP RMH'!$A:$A,0)),INDEX('LP RMH'!$E:$E,MATCH(TRIM(F20),'LP RMH'!$A:$A,0))),0),IFERROR(INDEX('LP MONCAR'!$E:$E,MATCH(TRIM(F20),'LP MONCAR'!$A:$A,0)),0)))</f>
        <v/>
      </c>
      <c r="K20" s="18" t="n">
        <v>34500</v>
      </c>
      <c r="L20" s="16" t="inlineStr">
        <is>
          <t>2025-10</t>
        </is>
      </c>
      <c r="M20" s="16" t="n"/>
      <c r="N20" s="20" t="n">
        <v>4477.455</v>
      </c>
      <c r="O20" s="18" t="n">
        <v>30022.545</v>
      </c>
      <c r="P20" s="16" t="inlineStr">
        <is>
          <t>BLACK Y DECKER</t>
        </is>
      </c>
      <c r="Q20" s="16" t="inlineStr">
        <is>
          <t>FERRETERIA</t>
        </is>
      </c>
      <c r="R20" s="16" t="inlineStr">
        <is>
          <t>SANTIAGO DEL ESTERO</t>
        </is>
      </c>
      <c r="S20" s="16" t="n"/>
      <c r="T20" s="16" t="inlineStr">
        <is>
          <t>Santiago Del Estero</t>
        </is>
      </c>
      <c r="U20" s="16" t="n"/>
    </row>
    <row r="21">
      <c r="A21" s="37" t="n"/>
      <c r="B21" s="16" t="n">
        <v>1121</v>
      </c>
      <c r="C21" s="16" t="inlineStr">
        <is>
          <t>Maxi</t>
        </is>
      </c>
      <c r="D21" s="17" t="n">
        <v>45958</v>
      </c>
      <c r="E21" s="16" t="inlineStr">
        <is>
          <t>MONCAR</t>
        </is>
      </c>
      <c r="F21" s="16" t="inlineStr">
        <is>
          <t>CF 674</t>
        </is>
      </c>
      <c r="G21" s="18" t="n">
        <v>20</v>
      </c>
      <c r="H21" s="16" t="inlineStr">
        <is>
          <t>AYL MAQUINAS</t>
        </is>
      </c>
      <c r="I21" s="19" t="n"/>
      <c r="J21" s="18">
        <f>IF(TRIM(F21)="","",IF(LEFT(TRIM(F21),2)="RM",IFERROR(IF(D21&gt;=DATE(2026,4,1),INDEX('LP RMH'!$F:$F,MATCH(TRIM(F21),'LP RMH'!$A:$A,0)),INDEX('LP RMH'!$E:$E,MATCH(TRIM(F21),'LP RMH'!$A:$A,0))),0),IFERROR(INDEX('LP MONCAR'!$E:$E,MATCH(TRIM(F21),'LP MONCAR'!$A:$A,0)),0)))</f>
        <v/>
      </c>
      <c r="K21" s="18" t="n">
        <v>46000</v>
      </c>
      <c r="L21" s="16" t="inlineStr">
        <is>
          <t>2025-10</t>
        </is>
      </c>
      <c r="M21" s="16" t="n"/>
      <c r="N21" s="20" t="n">
        <v>5969.940000000001</v>
      </c>
      <c r="O21" s="18" t="n">
        <v>40030.06</v>
      </c>
      <c r="P21" s="16" t="inlineStr">
        <is>
          <t>BLACK Y DECKER</t>
        </is>
      </c>
      <c r="Q21" s="16" t="inlineStr">
        <is>
          <t>FERRETERIA</t>
        </is>
      </c>
      <c r="R21" s="16" t="inlineStr">
        <is>
          <t>SANTIAGO DEL ESTERO</t>
        </is>
      </c>
      <c r="S21" s="16" t="n"/>
      <c r="T21" s="16" t="inlineStr">
        <is>
          <t>Santiago Del Estero</t>
        </is>
      </c>
      <c r="U21" s="16" t="n"/>
    </row>
    <row r="22">
      <c r="A22" s="37" t="n"/>
      <c r="B22" s="16" t="n">
        <v>1121</v>
      </c>
      <c r="C22" s="16" t="inlineStr">
        <is>
          <t>Maxi</t>
        </is>
      </c>
      <c r="D22" s="17" t="n">
        <v>45958</v>
      </c>
      <c r="E22" s="16" t="inlineStr">
        <is>
          <t>MONCAR</t>
        </is>
      </c>
      <c r="F22" s="16" t="inlineStr">
        <is>
          <t>CF 017</t>
        </is>
      </c>
      <c r="G22" s="18" t="n">
        <v>10</v>
      </c>
      <c r="H22" s="16" t="inlineStr">
        <is>
          <t>AYL MAQUINAS</t>
        </is>
      </c>
      <c r="I22" s="19" t="n"/>
      <c r="J22" s="18">
        <f>IF(TRIM(F22)="","",IF(LEFT(TRIM(F22),2)="RM",IFERROR(IF(D22&gt;=DATE(2026,4,1),INDEX('LP RMH'!$F:$F,MATCH(TRIM(F22),'LP RMH'!$A:$A,0)),INDEX('LP RMH'!$E:$E,MATCH(TRIM(F22),'LP RMH'!$A:$A,0))),0),IFERROR(INDEX('LP MONCAR'!$E:$E,MATCH(TRIM(F22),'LP MONCAR'!$A:$A,0)),0)))</f>
        <v/>
      </c>
      <c r="K22" s="18" t="n">
        <v>34200</v>
      </c>
      <c r="L22" s="16" t="inlineStr">
        <is>
          <t>2025-10</t>
        </is>
      </c>
      <c r="M22" s="16" t="n"/>
      <c r="N22" s="20" t="n">
        <v>4477.455</v>
      </c>
      <c r="O22" s="18" t="n">
        <v>29722.545</v>
      </c>
      <c r="P22" s="16" t="inlineStr">
        <is>
          <t>BOSCH</t>
        </is>
      </c>
      <c r="Q22" s="16" t="inlineStr">
        <is>
          <t>FERRETERIA</t>
        </is>
      </c>
      <c r="R22" s="16" t="inlineStr">
        <is>
          <t>SANTIAGO DEL ESTERO</t>
        </is>
      </c>
      <c r="S22" s="16" t="n"/>
      <c r="T22" s="16" t="inlineStr">
        <is>
          <t>Santiago Del Estero</t>
        </is>
      </c>
      <c r="U22" s="16" t="n"/>
    </row>
    <row r="23">
      <c r="A23" s="37" t="n"/>
      <c r="B23" s="16" t="n">
        <v>1121</v>
      </c>
      <c r="C23" s="16" t="inlineStr">
        <is>
          <t>Maxi</t>
        </is>
      </c>
      <c r="D23" s="17" t="n">
        <v>45958</v>
      </c>
      <c r="E23" s="16" t="inlineStr">
        <is>
          <t>MONCAR</t>
        </is>
      </c>
      <c r="F23" s="16" t="inlineStr">
        <is>
          <t>CF 614</t>
        </is>
      </c>
      <c r="G23" s="18" t="n">
        <v>20</v>
      </c>
      <c r="H23" s="16" t="inlineStr">
        <is>
          <t>AYL MAQUINAS</t>
        </is>
      </c>
      <c r="I23" s="19" t="n"/>
      <c r="J23" s="18">
        <f>IF(TRIM(F23)="","",IF(LEFT(TRIM(F23),2)="RM",IFERROR(IF(D23&gt;=DATE(2026,4,1),INDEX('LP RMH'!$F:$F,MATCH(TRIM(F23),'LP RMH'!$A:$A,0)),INDEX('LP RMH'!$E:$E,MATCH(TRIM(F23),'LP RMH'!$A:$A,0))),0),IFERROR(INDEX('LP MONCAR'!$E:$E,MATCH(TRIM(F23),'LP MONCAR'!$A:$A,0)),0)))</f>
        <v/>
      </c>
      <c r="K23" s="18" t="n">
        <v>74000</v>
      </c>
      <c r="L23" s="16" t="inlineStr">
        <is>
          <t>2025-10</t>
        </is>
      </c>
      <c r="M23" s="16" t="n"/>
      <c r="N23" s="20" t="n">
        <v>9551.904</v>
      </c>
      <c r="O23" s="18" t="n">
        <v>64448.096</v>
      </c>
      <c r="P23" s="16" t="inlineStr">
        <is>
          <t>BOSCH</t>
        </is>
      </c>
      <c r="Q23" s="16" t="inlineStr">
        <is>
          <t>FERRETERIA</t>
        </is>
      </c>
      <c r="R23" s="16" t="inlineStr">
        <is>
          <t>SANTIAGO DEL ESTERO</t>
        </is>
      </c>
      <c r="S23" s="16" t="n"/>
      <c r="T23" s="16" t="inlineStr">
        <is>
          <t>Santiago Del Estero</t>
        </is>
      </c>
      <c r="U23" s="16" t="n"/>
    </row>
    <row r="24">
      <c r="A24" s="37" t="n"/>
      <c r="B24" s="16" t="n">
        <v>1121</v>
      </c>
      <c r="C24" s="16" t="inlineStr">
        <is>
          <t>Maxi</t>
        </is>
      </c>
      <c r="D24" s="17" t="n">
        <v>45958</v>
      </c>
      <c r="E24" s="16" t="inlineStr">
        <is>
          <t>MONCAR</t>
        </is>
      </c>
      <c r="F24" s="16" t="inlineStr">
        <is>
          <t>CF 002</t>
        </is>
      </c>
      <c r="G24" s="18" t="n">
        <v>10</v>
      </c>
      <c r="H24" s="16" t="inlineStr">
        <is>
          <t>AYL MAQUINAS</t>
        </is>
      </c>
      <c r="I24" s="19" t="n"/>
      <c r="J24" s="18">
        <f>IF(TRIM(F24)="","",IF(LEFT(TRIM(F24),2)="RM",IFERROR(IF(D24&gt;=DATE(2026,4,1),INDEX('LP RMH'!$F:$F,MATCH(TRIM(F24),'LP RMH'!$A:$A,0)),INDEX('LP RMH'!$E:$E,MATCH(TRIM(F24),'LP RMH'!$A:$A,0))),0),IFERROR(INDEX('LP MONCAR'!$E:$E,MATCH(TRIM(F24),'LP MONCAR'!$A:$A,0)),0)))</f>
        <v/>
      </c>
      <c r="K24" s="18" t="n">
        <v>32200</v>
      </c>
      <c r="L24" s="16" t="inlineStr">
        <is>
          <t>2025-10</t>
        </is>
      </c>
      <c r="M24" s="16" t="n"/>
      <c r="N24" s="20" t="n">
        <v>4178.958000000001</v>
      </c>
      <c r="O24" s="18" t="n">
        <v>28021.042</v>
      </c>
      <c r="P24" s="16" t="inlineStr">
        <is>
          <t>DOWEN PAGGIO</t>
        </is>
      </c>
      <c r="Q24" s="16" t="inlineStr">
        <is>
          <t>FERRETERIA</t>
        </is>
      </c>
      <c r="R24" s="16" t="inlineStr">
        <is>
          <t>SANTIAGO DEL ESTERO</t>
        </is>
      </c>
      <c r="S24" s="16" t="n"/>
      <c r="T24" s="16" t="inlineStr">
        <is>
          <t>Santiago Del Estero</t>
        </is>
      </c>
      <c r="U24" s="16" t="n"/>
    </row>
    <row r="25">
      <c r="A25" s="37" t="n"/>
      <c r="B25" s="16" t="n">
        <v>1121</v>
      </c>
      <c r="C25" s="16" t="inlineStr">
        <is>
          <t>Maxi</t>
        </is>
      </c>
      <c r="D25" s="17" t="n">
        <v>45958</v>
      </c>
      <c r="E25" s="16" t="inlineStr">
        <is>
          <t>MONCAR</t>
        </is>
      </c>
      <c r="F25" s="16" t="inlineStr">
        <is>
          <t>CF 003</t>
        </is>
      </c>
      <c r="G25" s="18" t="n">
        <v>5</v>
      </c>
      <c r="H25" s="16" t="inlineStr">
        <is>
          <t>AYL MAQUINAS</t>
        </is>
      </c>
      <c r="I25" s="19" t="n"/>
      <c r="J25" s="18">
        <f>IF(TRIM(F25)="","",IF(LEFT(TRIM(F25),2)="RM",IFERROR(IF(D25&gt;=DATE(2026,4,1),INDEX('LP RMH'!$F:$F,MATCH(TRIM(F25),'LP RMH'!$A:$A,0)),INDEX('LP RMH'!$E:$E,MATCH(TRIM(F25),'LP RMH'!$A:$A,0))),0),IFERROR(INDEX('LP MONCAR'!$E:$E,MATCH(TRIM(F25),'LP MONCAR'!$A:$A,0)),0)))</f>
        <v/>
      </c>
      <c r="K25" s="18" t="n">
        <v>12650</v>
      </c>
      <c r="L25" s="16" t="inlineStr">
        <is>
          <t>2025-10</t>
        </is>
      </c>
      <c r="M25" s="16" t="n"/>
      <c r="N25" s="20" t="n">
        <v>1641.7335</v>
      </c>
      <c r="O25" s="18" t="n">
        <v>11008.2665</v>
      </c>
      <c r="P25" s="16" t="inlineStr">
        <is>
          <t>DOWEN PAGGIO</t>
        </is>
      </c>
      <c r="Q25" s="16" t="inlineStr">
        <is>
          <t>FERRETERIA</t>
        </is>
      </c>
      <c r="R25" s="16" t="inlineStr">
        <is>
          <t>SANTIAGO DEL ESTERO</t>
        </is>
      </c>
      <c r="S25" s="16" t="n"/>
      <c r="T25" s="16" t="inlineStr">
        <is>
          <t>Santiago Del Estero</t>
        </is>
      </c>
      <c r="U25" s="16" t="n"/>
    </row>
    <row r="26">
      <c r="A26" s="37" t="n"/>
      <c r="B26" s="16" t="n">
        <v>1121</v>
      </c>
      <c r="C26" s="16" t="inlineStr">
        <is>
          <t>Maxi</t>
        </is>
      </c>
      <c r="D26" s="17" t="n">
        <v>45958</v>
      </c>
      <c r="E26" s="16" t="inlineStr">
        <is>
          <t>MONCAR</t>
        </is>
      </c>
      <c r="F26" s="16" t="inlineStr">
        <is>
          <t>CF 758</t>
        </is>
      </c>
      <c r="G26" s="18" t="n">
        <v>15</v>
      </c>
      <c r="H26" s="16" t="inlineStr">
        <is>
          <t>AYL MAQUINAS</t>
        </is>
      </c>
      <c r="I26" s="19" t="n"/>
      <c r="J26" s="18">
        <f>IF(TRIM(F26)="","",IF(LEFT(TRIM(F26),2)="RM",IFERROR(IF(D26&gt;=DATE(2026,4,1),INDEX('LP RMH'!$F:$F,MATCH(TRIM(F26),'LP RMH'!$A:$A,0)),INDEX('LP RMH'!$E:$E,MATCH(TRIM(F26),'LP RMH'!$A:$A,0))),0),IFERROR(INDEX('LP MONCAR'!$E:$E,MATCH(TRIM(F26),'LP MONCAR'!$A:$A,0)),0)))</f>
        <v/>
      </c>
      <c r="K26" s="18" t="n">
        <v>69000</v>
      </c>
      <c r="L26" s="16" t="inlineStr">
        <is>
          <t>2025-10</t>
        </is>
      </c>
      <c r="M26" s="16" t="n"/>
      <c r="N26" s="20" t="n">
        <v>9402.655499999999</v>
      </c>
      <c r="O26" s="18" t="n">
        <v>59597.3445</v>
      </c>
      <c r="P26" s="16" t="inlineStr">
        <is>
          <t>DOWEN PAGGIO</t>
        </is>
      </c>
      <c r="Q26" s="16" t="inlineStr">
        <is>
          <t>FERRETERIA</t>
        </is>
      </c>
      <c r="R26" s="16" t="inlineStr">
        <is>
          <t>SANTIAGO DEL ESTERO</t>
        </is>
      </c>
      <c r="S26" s="16" t="n"/>
      <c r="T26" s="16" t="inlineStr">
        <is>
          <t>Santiago Del Estero</t>
        </is>
      </c>
      <c r="U26" s="16" t="n"/>
    </row>
    <row r="27">
      <c r="A27" s="37" t="n"/>
      <c r="B27" s="16" t="n">
        <v>1121</v>
      </c>
      <c r="C27" s="16" t="inlineStr">
        <is>
          <t>Maxi</t>
        </is>
      </c>
      <c r="D27" s="17" t="n">
        <v>45958</v>
      </c>
      <c r="E27" s="16" t="inlineStr">
        <is>
          <t>MONCAR</t>
        </is>
      </c>
      <c r="F27" s="16" t="inlineStr">
        <is>
          <t>CF 040</t>
        </is>
      </c>
      <c r="G27" s="18" t="n">
        <v>5</v>
      </c>
      <c r="H27" s="16" t="inlineStr">
        <is>
          <t>AYL MAQUINAS</t>
        </is>
      </c>
      <c r="I27" s="19" t="n"/>
      <c r="J27" s="18">
        <f>IF(TRIM(F27)="","",IF(LEFT(TRIM(F27),2)="RM",IFERROR(IF(D27&gt;=DATE(2026,4,1),INDEX('LP RMH'!$F:$F,MATCH(TRIM(F27),'LP RMH'!$A:$A,0)),INDEX('LP RMH'!$E:$E,MATCH(TRIM(F27),'LP RMH'!$A:$A,0))),0),IFERROR(INDEX('LP MONCAR'!$E:$E,MATCH(TRIM(F27),'LP MONCAR'!$A:$A,0)),0)))</f>
        <v/>
      </c>
      <c r="K27" s="18" t="n">
        <v>24650</v>
      </c>
      <c r="L27" s="16" t="inlineStr">
        <is>
          <t>2025-10</t>
        </is>
      </c>
      <c r="M27" s="16" t="n"/>
      <c r="N27" s="20" t="n">
        <v>3283.467</v>
      </c>
      <c r="O27" s="18" t="n">
        <v>21366.533</v>
      </c>
      <c r="P27" s="16" t="inlineStr">
        <is>
          <t>HITACHI</t>
        </is>
      </c>
      <c r="Q27" s="16" t="inlineStr">
        <is>
          <t>FERRETERIA</t>
        </is>
      </c>
      <c r="R27" s="16" t="inlineStr">
        <is>
          <t>SANTIAGO DEL ESTERO</t>
        </is>
      </c>
      <c r="S27" s="16" t="n"/>
      <c r="T27" s="16" t="inlineStr">
        <is>
          <t>Santiago Del Estero</t>
        </is>
      </c>
      <c r="U27" s="16" t="n"/>
    </row>
    <row r="28">
      <c r="A28" s="37" t="n"/>
      <c r="B28" s="16" t="n">
        <v>1121</v>
      </c>
      <c r="C28" s="16" t="inlineStr">
        <is>
          <t>Maxi</t>
        </is>
      </c>
      <c r="D28" s="17" t="n">
        <v>45958</v>
      </c>
      <c r="E28" s="16" t="inlineStr">
        <is>
          <t>MONCAR</t>
        </is>
      </c>
      <c r="F28" s="16" t="inlineStr">
        <is>
          <t>CF 041</t>
        </is>
      </c>
      <c r="G28" s="18" t="n">
        <v>5</v>
      </c>
      <c r="H28" s="16" t="inlineStr">
        <is>
          <t>AYL MAQUINAS</t>
        </is>
      </c>
      <c r="I28" s="19" t="n"/>
      <c r="J28" s="18">
        <f>IF(TRIM(F28)="","",IF(LEFT(TRIM(F28),2)="RM",IFERROR(IF(D28&gt;=DATE(2026,4,1),INDEX('LP RMH'!$F:$F,MATCH(TRIM(F28),'LP RMH'!$A:$A,0)),INDEX('LP RMH'!$E:$E,MATCH(TRIM(F28),'LP RMH'!$A:$A,0))),0),IFERROR(INDEX('LP MONCAR'!$E:$E,MATCH(TRIM(F28),'LP MONCAR'!$A:$A,0)),0)))</f>
        <v/>
      </c>
      <c r="K28" s="18" t="n">
        <v>12650</v>
      </c>
      <c r="L28" s="16" t="inlineStr">
        <is>
          <t>2025-10</t>
        </is>
      </c>
      <c r="M28" s="16" t="n"/>
      <c r="N28" s="20" t="n">
        <v>1641.7335</v>
      </c>
      <c r="O28" s="18" t="n">
        <v>11008.2665</v>
      </c>
      <c r="P28" s="16" t="inlineStr">
        <is>
          <t>HITACHI</t>
        </is>
      </c>
      <c r="Q28" s="16" t="inlineStr">
        <is>
          <t>FERRETERIA</t>
        </is>
      </c>
      <c r="R28" s="16" t="inlineStr">
        <is>
          <t>SANTIAGO DEL ESTERO</t>
        </is>
      </c>
      <c r="S28" s="16" t="n"/>
      <c r="T28" s="16" t="inlineStr">
        <is>
          <t>Santiago Del Estero</t>
        </is>
      </c>
      <c r="U28" s="16" t="n"/>
    </row>
    <row r="29">
      <c r="A29" s="37" t="n"/>
      <c r="B29" s="16" t="n">
        <v>1121</v>
      </c>
      <c r="C29" s="16" t="inlineStr">
        <is>
          <t>Maxi</t>
        </is>
      </c>
      <c r="D29" s="17" t="n">
        <v>45958</v>
      </c>
      <c r="E29" s="16" t="inlineStr">
        <is>
          <t>MONCAR</t>
        </is>
      </c>
      <c r="F29" s="16" t="inlineStr">
        <is>
          <t>CF 054</t>
        </is>
      </c>
      <c r="G29" s="18" t="n">
        <v>10</v>
      </c>
      <c r="H29" s="16" t="inlineStr">
        <is>
          <t>AYL MAQUINAS</t>
        </is>
      </c>
      <c r="I29" s="19" t="n"/>
      <c r="J29" s="18">
        <f>IF(TRIM(F29)="","",IF(LEFT(TRIM(F29),2)="RM",IFERROR(IF(D29&gt;=DATE(2026,4,1),INDEX('LP RMH'!$F:$F,MATCH(TRIM(F29),'LP RMH'!$A:$A,0)),INDEX('LP RMH'!$E:$E,MATCH(TRIM(F29),'LP RMH'!$A:$A,0))),0),IFERROR(INDEX('LP MONCAR'!$E:$E,MATCH(TRIM(F29),'LP MONCAR'!$A:$A,0)),0)))</f>
        <v/>
      </c>
      <c r="K29" s="18" t="n">
        <v>33800</v>
      </c>
      <c r="L29" s="16" t="inlineStr">
        <is>
          <t>2025-10</t>
        </is>
      </c>
      <c r="M29" s="16" t="n"/>
      <c r="N29" s="20" t="n">
        <v>4477.455</v>
      </c>
      <c r="O29" s="18" t="n">
        <v>29322.545</v>
      </c>
      <c r="P29" s="16" t="inlineStr">
        <is>
          <t>MAKITA</t>
        </is>
      </c>
      <c r="Q29" s="16" t="inlineStr">
        <is>
          <t>FERRETERIA</t>
        </is>
      </c>
      <c r="R29" s="16" t="inlineStr">
        <is>
          <t>SANTIAGO DEL ESTERO</t>
        </is>
      </c>
      <c r="S29" s="16" t="n"/>
      <c r="T29" s="16" t="inlineStr">
        <is>
          <t>Santiago Del Estero</t>
        </is>
      </c>
      <c r="U29" s="16" t="n"/>
    </row>
    <row r="30">
      <c r="A30" s="37" t="n"/>
      <c r="B30" s="16" t="n">
        <v>1121</v>
      </c>
      <c r="C30" s="16" t="inlineStr">
        <is>
          <t>Maxi</t>
        </is>
      </c>
      <c r="D30" s="17" t="n">
        <v>45958</v>
      </c>
      <c r="E30" s="16" t="inlineStr">
        <is>
          <t>MONCAR</t>
        </is>
      </c>
      <c r="F30" s="16" t="inlineStr">
        <is>
          <t>CF 556</t>
        </is>
      </c>
      <c r="G30" s="18" t="n">
        <v>5</v>
      </c>
      <c r="H30" s="16" t="inlineStr">
        <is>
          <t>AYL MAQUINAS</t>
        </is>
      </c>
      <c r="I30" s="19" t="n"/>
      <c r="J30" s="18">
        <f>IF(TRIM(F30)="","",IF(LEFT(TRIM(F30),2)="RM",IFERROR(IF(D30&gt;=DATE(2026,4,1),INDEX('LP RMH'!$F:$F,MATCH(TRIM(F30),'LP RMH'!$A:$A,0)),INDEX('LP RMH'!$E:$E,MATCH(TRIM(F30),'LP RMH'!$A:$A,0))),0),IFERROR(INDEX('LP MONCAR'!$E:$E,MATCH(TRIM(F30),'LP MONCAR'!$A:$A,0)),0)))</f>
        <v/>
      </c>
      <c r="K30" s="18" t="n">
        <v>18500</v>
      </c>
      <c r="L30" s="16" t="inlineStr">
        <is>
          <t>2025-10</t>
        </is>
      </c>
      <c r="M30" s="16" t="n"/>
      <c r="N30" s="20" t="n">
        <v>2387.976</v>
      </c>
      <c r="O30" s="18" t="n">
        <v>16112.024</v>
      </c>
      <c r="P30" s="16" t="inlineStr">
        <is>
          <t>MAKITA</t>
        </is>
      </c>
      <c r="Q30" s="16" t="inlineStr">
        <is>
          <t>FERRETERIA</t>
        </is>
      </c>
      <c r="R30" s="16" t="inlineStr">
        <is>
          <t>SANTIAGO DEL ESTERO</t>
        </is>
      </c>
      <c r="S30" s="16" t="n"/>
      <c r="T30" s="16" t="inlineStr">
        <is>
          <t>Santiago Del Estero</t>
        </is>
      </c>
      <c r="U30" s="16" t="n"/>
    </row>
    <row r="31">
      <c r="A31" s="37" t="n"/>
      <c r="B31" s="16" t="n">
        <v>1121</v>
      </c>
      <c r="C31" s="16" t="inlineStr">
        <is>
          <t>Maxi</t>
        </is>
      </c>
      <c r="D31" s="17" t="n">
        <v>45958</v>
      </c>
      <c r="E31" s="16" t="inlineStr">
        <is>
          <t>MONCAR</t>
        </is>
      </c>
      <c r="F31" s="16" t="inlineStr">
        <is>
          <t>CF 658</t>
        </is>
      </c>
      <c r="G31" s="18" t="n">
        <v>5</v>
      </c>
      <c r="H31" s="16" t="inlineStr">
        <is>
          <t>AYL MAQUINAS</t>
        </is>
      </c>
      <c r="I31" s="19" t="n"/>
      <c r="J31" s="18">
        <f>IF(TRIM(F31)="","",IF(LEFT(TRIM(F31),2)="RM",IFERROR(IF(D31&gt;=DATE(2026,4,1),INDEX('LP RMH'!$F:$F,MATCH(TRIM(F31),'LP RMH'!$A:$A,0)),INDEX('LP RMH'!$E:$E,MATCH(TRIM(F31),'LP RMH'!$A:$A,0))),0),IFERROR(INDEX('LP MONCAR'!$E:$E,MATCH(TRIM(F31),'LP MONCAR'!$A:$A,0)),0)))</f>
        <v/>
      </c>
      <c r="K31" s="18" t="n">
        <v>12650</v>
      </c>
      <c r="L31" s="16" t="inlineStr">
        <is>
          <t>2025-10</t>
        </is>
      </c>
      <c r="M31" s="16" t="n"/>
      <c r="N31" s="20" t="n">
        <v>1641.7335</v>
      </c>
      <c r="O31" s="18" t="n">
        <v>11008.2665</v>
      </c>
      <c r="P31" s="16" t="inlineStr">
        <is>
          <t>SKIL</t>
        </is>
      </c>
      <c r="Q31" s="16" t="inlineStr">
        <is>
          <t>FERRETERIA</t>
        </is>
      </c>
      <c r="R31" s="16" t="inlineStr">
        <is>
          <t>SANTIAGO DEL ESTERO</t>
        </is>
      </c>
      <c r="S31" s="16" t="n"/>
      <c r="T31" s="16" t="inlineStr">
        <is>
          <t>Santiago Del Estero</t>
        </is>
      </c>
      <c r="U31" s="16" t="n"/>
    </row>
    <row r="32">
      <c r="A32" s="37" t="n"/>
      <c r="B32" s="16" t="n">
        <v>1121</v>
      </c>
      <c r="C32" s="16" t="inlineStr">
        <is>
          <t>Maxi</t>
        </is>
      </c>
      <c r="D32" s="17" t="n">
        <v>45958</v>
      </c>
      <c r="E32" s="16" t="inlineStr">
        <is>
          <t>MONCAR</t>
        </is>
      </c>
      <c r="F32" s="16" t="inlineStr">
        <is>
          <t>CE 021</t>
        </is>
      </c>
      <c r="G32" s="18" t="n">
        <v>5</v>
      </c>
      <c r="H32" s="16" t="inlineStr">
        <is>
          <t>AYL MAQUINAS</t>
        </is>
      </c>
      <c r="I32" s="19" t="n"/>
      <c r="J32" s="18">
        <f>IF(TRIM(F32)="","",IF(LEFT(TRIM(F32),2)="RM",IFERROR(IF(D32&gt;=DATE(2026,4,1),INDEX('LP RMH'!$F:$F,MATCH(TRIM(F32),'LP RMH'!$A:$A,0)),INDEX('LP RMH'!$E:$E,MATCH(TRIM(F32),'LP RMH'!$A:$A,0))),0),IFERROR(INDEX('LP MONCAR'!$E:$E,MATCH(TRIM(F32),'LP MONCAR'!$A:$A,0)),0)))</f>
        <v/>
      </c>
      <c r="K32" s="18" t="n">
        <v>23950</v>
      </c>
      <c r="L32" s="16" t="inlineStr">
        <is>
          <t>2025-10</t>
        </is>
      </c>
      <c r="M32" s="16" t="n"/>
      <c r="N32" s="20" t="n">
        <v>3432.7155</v>
      </c>
      <c r="O32" s="18" t="n">
        <v>20517.2845</v>
      </c>
      <c r="P32" s="16" t="inlineStr">
        <is>
          <t>ENCERADORA</t>
        </is>
      </c>
      <c r="Q32" s="16" t="inlineStr">
        <is>
          <t>FERRETERIA</t>
        </is>
      </c>
      <c r="R32" s="16" t="inlineStr">
        <is>
          <t>SANTIAGO DEL ESTERO</t>
        </is>
      </c>
      <c r="S32" s="16" t="n"/>
      <c r="T32" s="16" t="inlineStr">
        <is>
          <t>Santiago Del Estero</t>
        </is>
      </c>
      <c r="U32" s="16" t="n"/>
    </row>
    <row r="33">
      <c r="A33" s="37" t="n"/>
      <c r="B33" s="16" t="n">
        <v>1097</v>
      </c>
      <c r="C33" s="16" t="inlineStr">
        <is>
          <t>Maxi</t>
        </is>
      </c>
      <c r="D33" s="17" t="n">
        <v>45944</v>
      </c>
      <c r="E33" s="16" t="inlineStr">
        <is>
          <t>MONCAR</t>
        </is>
      </c>
      <c r="F33" s="16" t="inlineStr">
        <is>
          <t>CF 675</t>
        </is>
      </c>
      <c r="G33" s="18" t="n">
        <v>6</v>
      </c>
      <c r="H33" s="16" t="inlineStr">
        <is>
          <t>BURGOS</t>
        </is>
      </c>
      <c r="I33" s="19" t="n"/>
      <c r="J33" s="18">
        <f>IF(TRIM(F33)="","",IF(LEFT(TRIM(F33),2)="RM",IFERROR(IF(D33&gt;=DATE(2026,4,1),INDEX('LP RMH'!$F:$F,MATCH(TRIM(F33),'LP RMH'!$A:$A,0)),INDEX('LP RMH'!$E:$E,MATCH(TRIM(F33),'LP RMH'!$A:$A,0))),0),IFERROR(INDEX('LP MONCAR'!$E:$E,MATCH(TRIM(F33),'LP MONCAR'!$A:$A,0)),0)))</f>
        <v/>
      </c>
      <c r="K33" s="18" t="n">
        <v>20520</v>
      </c>
      <c r="L33" s="16" t="inlineStr">
        <is>
          <t>2025-10</t>
        </is>
      </c>
      <c r="M33" s="16" t="n"/>
      <c r="N33" s="20" t="n">
        <v>2686.473</v>
      </c>
      <c r="O33" s="18" t="n">
        <v>17833.527</v>
      </c>
      <c r="P33" s="16" t="inlineStr">
        <is>
          <t>BLACK Y DECKER</t>
        </is>
      </c>
      <c r="Q33" s="16" t="inlineStr">
        <is>
          <t>FERRETERIA</t>
        </is>
      </c>
      <c r="R33" s="16" t="n"/>
      <c r="S33" s="16" t="n"/>
      <c r="T33" s="16" t="n"/>
      <c r="U33" s="16" t="n"/>
    </row>
    <row r="34">
      <c r="A34" s="37" t="n"/>
      <c r="B34" s="16" t="n">
        <v>1097</v>
      </c>
      <c r="C34" s="16" t="inlineStr">
        <is>
          <t>Maxi</t>
        </is>
      </c>
      <c r="D34" s="17" t="n">
        <v>45944</v>
      </c>
      <c r="E34" s="16" t="inlineStr">
        <is>
          <t>MONCAR</t>
        </is>
      </c>
      <c r="F34" s="16" t="inlineStr">
        <is>
          <t>CF 180</t>
        </is>
      </c>
      <c r="G34" s="18" t="n">
        <v>10</v>
      </c>
      <c r="H34" s="16" t="inlineStr">
        <is>
          <t>BURGOS</t>
        </is>
      </c>
      <c r="I34" s="19" t="n"/>
      <c r="J34" s="18">
        <f>IF(TRIM(F34)="","",IF(LEFT(TRIM(F34),2)="RM",IFERROR(IF(D34&gt;=DATE(2026,4,1),INDEX('LP RMH'!$F:$F,MATCH(TRIM(F34),'LP RMH'!$A:$A,0)),INDEX('LP RMH'!$E:$E,MATCH(TRIM(F34),'LP RMH'!$A:$A,0))),0),IFERROR(INDEX('LP MONCAR'!$E:$E,MATCH(TRIM(F34),'LP MONCAR'!$A:$A,0)),0)))</f>
        <v/>
      </c>
      <c r="K34" s="18" t="n">
        <v>41400</v>
      </c>
      <c r="L34" s="16" t="inlineStr">
        <is>
          <t>2025-10</t>
        </is>
      </c>
      <c r="M34" s="16" t="n"/>
      <c r="N34" s="20" t="n">
        <v>5372.946000000001</v>
      </c>
      <c r="O34" s="18" t="n">
        <v>36027.054</v>
      </c>
      <c r="P34" s="16" t="inlineStr">
        <is>
          <t>DE WALT</t>
        </is>
      </c>
      <c r="Q34" s="16" t="inlineStr">
        <is>
          <t>FERRETERIA</t>
        </is>
      </c>
      <c r="R34" s="16" t="n"/>
      <c r="S34" s="16" t="n"/>
      <c r="T34" s="16" t="n"/>
      <c r="U34" s="16" t="n"/>
    </row>
    <row r="35">
      <c r="A35" s="37" t="n"/>
      <c r="B35" s="16" t="n">
        <v>1097</v>
      </c>
      <c r="C35" s="16" t="inlineStr">
        <is>
          <t>Maxi</t>
        </is>
      </c>
      <c r="D35" s="17" t="n">
        <v>45944</v>
      </c>
      <c r="E35" s="16" t="inlineStr">
        <is>
          <t>MONCAR</t>
        </is>
      </c>
      <c r="F35" s="16" t="inlineStr">
        <is>
          <t>CF 181</t>
        </is>
      </c>
      <c r="G35" s="18" t="n">
        <v>5</v>
      </c>
      <c r="H35" s="16" t="inlineStr">
        <is>
          <t>BURGOS</t>
        </is>
      </c>
      <c r="I35" s="19" t="n"/>
      <c r="J35" s="18">
        <f>IF(TRIM(F35)="","",IF(LEFT(TRIM(F35),2)="RM",IFERROR(IF(D35&gt;=DATE(2026,4,1),INDEX('LP RMH'!$F:$F,MATCH(TRIM(F35),'LP RMH'!$A:$A,0)),INDEX('LP RMH'!$E:$E,MATCH(TRIM(F35),'LP RMH'!$A:$A,0))),0),IFERROR(INDEX('LP MONCAR'!$E:$E,MATCH(TRIM(F35),'LP MONCAR'!$A:$A,0)),0)))</f>
        <v/>
      </c>
      <c r="K35" s="18" t="n">
        <v>17750</v>
      </c>
      <c r="L35" s="16" t="inlineStr">
        <is>
          <t>2025-10</t>
        </is>
      </c>
      <c r="M35" s="16" t="n"/>
      <c r="N35" s="20" t="n">
        <v>2387.976</v>
      </c>
      <c r="O35" s="18" t="n">
        <v>15362.024</v>
      </c>
      <c r="P35" s="16" t="inlineStr">
        <is>
          <t>DE WALT</t>
        </is>
      </c>
      <c r="Q35" s="16" t="inlineStr">
        <is>
          <t>FERRETERIA</t>
        </is>
      </c>
      <c r="R35" s="16" t="n"/>
      <c r="S35" s="16" t="n"/>
      <c r="T35" s="16" t="n"/>
      <c r="U35" s="16" t="n"/>
    </row>
    <row r="36">
      <c r="A36" s="37" t="n"/>
      <c r="B36" s="16" t="n">
        <v>1097</v>
      </c>
      <c r="C36" s="16" t="inlineStr">
        <is>
          <t>Maxi</t>
        </is>
      </c>
      <c r="D36" s="17" t="n">
        <v>45944</v>
      </c>
      <c r="E36" s="16" t="inlineStr">
        <is>
          <t>MONCAR</t>
        </is>
      </c>
      <c r="F36" s="16" t="inlineStr">
        <is>
          <t>CF 711</t>
        </is>
      </c>
      <c r="G36" s="18" t="n">
        <v>6</v>
      </c>
      <c r="H36" s="16" t="inlineStr">
        <is>
          <t>BURGOS</t>
        </is>
      </c>
      <c r="I36" s="19" t="n"/>
      <c r="J36" s="18">
        <f>IF(TRIM(F36)="","",IF(LEFT(TRIM(F36),2)="RM",IFERROR(IF(D36&gt;=DATE(2026,4,1),INDEX('LP RMH'!$F:$F,MATCH(TRIM(F36),'LP RMH'!$A:$A,0)),INDEX('LP RMH'!$E:$E,MATCH(TRIM(F36),'LP RMH'!$A:$A,0))),0),IFERROR(INDEX('LP MONCAR'!$E:$E,MATCH(TRIM(F36),'LP MONCAR'!$A:$A,0)),0)))</f>
        <v/>
      </c>
      <c r="K36" s="18" t="n">
        <v>18360</v>
      </c>
      <c r="L36" s="16" t="inlineStr">
        <is>
          <t>2025-10</t>
        </is>
      </c>
      <c r="M36" s="16" t="n"/>
      <c r="N36" s="20" t="n">
        <v>3044.669400000001</v>
      </c>
      <c r="O36" s="18" t="n">
        <v>15315.3306</v>
      </c>
      <c r="P36" s="16" t="inlineStr">
        <is>
          <t>GAMMA</t>
        </is>
      </c>
      <c r="Q36" s="16" t="inlineStr">
        <is>
          <t>FERRETERIA</t>
        </is>
      </c>
      <c r="R36" s="16" t="n"/>
      <c r="S36" s="16" t="n"/>
      <c r="T36" s="16" t="n"/>
      <c r="U36" s="16" t="n"/>
    </row>
    <row r="37">
      <c r="A37" s="37" t="n"/>
      <c r="B37" s="16" t="n">
        <v>1097</v>
      </c>
      <c r="C37" s="16" t="inlineStr">
        <is>
          <t>Maxi</t>
        </is>
      </c>
      <c r="D37" s="17" t="n">
        <v>45944</v>
      </c>
      <c r="E37" s="16" t="inlineStr">
        <is>
          <t>MONCAR</t>
        </is>
      </c>
      <c r="F37" s="16" t="inlineStr">
        <is>
          <t>CF 648</t>
        </is>
      </c>
      <c r="G37" s="18" t="n">
        <v>6</v>
      </c>
      <c r="H37" s="16" t="inlineStr">
        <is>
          <t>BURGOS</t>
        </is>
      </c>
      <c r="I37" s="19" t="n"/>
      <c r="J37" s="18">
        <f>IF(TRIM(F37)="","",IF(LEFT(TRIM(F37),2)="RM",IFERROR(IF(D37&gt;=DATE(2026,4,1),INDEX('LP RMH'!$F:$F,MATCH(TRIM(F37),'LP RMH'!$A:$A,0)),INDEX('LP RMH'!$E:$E,MATCH(TRIM(F37),'LP RMH'!$A:$A,0))),0),IFERROR(INDEX('LP MONCAR'!$E:$E,MATCH(TRIM(F37),'LP MONCAR'!$A:$A,0)),0)))</f>
        <v/>
      </c>
      <c r="K37" s="18" t="n">
        <v>15180</v>
      </c>
      <c r="L37" s="16" t="inlineStr">
        <is>
          <t>2025-10</t>
        </is>
      </c>
      <c r="M37" s="16" t="n"/>
      <c r="N37" s="20" t="n"/>
      <c r="O37" s="18" t="n"/>
      <c r="P37" s="16" t="inlineStr">
        <is>
          <t>SKIL</t>
        </is>
      </c>
      <c r="Q37" s="16" t="inlineStr">
        <is>
          <t>FERRETERIA</t>
        </is>
      </c>
      <c r="R37" s="16" t="n"/>
      <c r="S37" s="16" t="n"/>
      <c r="T37" s="16" t="n"/>
      <c r="U37" s="16" t="n"/>
    </row>
    <row r="38">
      <c r="A38" s="37" t="n"/>
      <c r="B38" s="16" t="n">
        <v>1097</v>
      </c>
      <c r="C38" s="16" t="inlineStr">
        <is>
          <t>Maxi</t>
        </is>
      </c>
      <c r="D38" s="17" t="n">
        <v>45944</v>
      </c>
      <c r="E38" s="16" t="inlineStr">
        <is>
          <t>MONCAR</t>
        </is>
      </c>
      <c r="F38" s="16" t="inlineStr">
        <is>
          <t>CF 658</t>
        </is>
      </c>
      <c r="G38" s="18" t="n">
        <v>10</v>
      </c>
      <c r="H38" s="16" t="inlineStr">
        <is>
          <t>BURGOS</t>
        </is>
      </c>
      <c r="I38" s="19" t="n"/>
      <c r="J38" s="18">
        <f>IF(TRIM(F38)="","",IF(LEFT(TRIM(F38),2)="RM",IFERROR(IF(D38&gt;=DATE(2026,4,1),INDEX('LP RMH'!$F:$F,MATCH(TRIM(F38),'LP RMH'!$A:$A,0)),INDEX('LP RMH'!$E:$E,MATCH(TRIM(F38),'LP RMH'!$A:$A,0))),0),IFERROR(INDEX('LP MONCAR'!$E:$E,MATCH(TRIM(F38),'LP MONCAR'!$A:$A,0)),0)))</f>
        <v/>
      </c>
      <c r="K38" s="18" t="n">
        <v>25300</v>
      </c>
      <c r="L38" s="16" t="inlineStr">
        <is>
          <t>2025-10</t>
        </is>
      </c>
      <c r="M38" s="16" t="n"/>
      <c r="N38" s="20" t="n">
        <v>3283.467</v>
      </c>
      <c r="O38" s="18" t="n">
        <v>22016.533</v>
      </c>
      <c r="P38" s="16" t="inlineStr">
        <is>
          <t>SKIL</t>
        </is>
      </c>
      <c r="Q38" s="16" t="inlineStr">
        <is>
          <t>FERRETERIA</t>
        </is>
      </c>
      <c r="R38" s="16" t="n"/>
      <c r="S38" s="16" t="n"/>
      <c r="T38" s="16" t="n"/>
      <c r="U38" s="16" t="n"/>
    </row>
    <row r="39">
      <c r="A39" s="37" t="n"/>
      <c r="B39" s="16" t="n">
        <v>1097</v>
      </c>
      <c r="C39" s="16" t="inlineStr">
        <is>
          <t>Maxi</t>
        </is>
      </c>
      <c r="D39" s="17" t="n">
        <v>45944</v>
      </c>
      <c r="E39" s="16" t="inlineStr">
        <is>
          <t>MONCAR</t>
        </is>
      </c>
      <c r="F39" s="16" t="inlineStr">
        <is>
          <t>CE 307</t>
        </is>
      </c>
      <c r="G39" s="18" t="n">
        <v>3</v>
      </c>
      <c r="H39" s="16" t="inlineStr">
        <is>
          <t>BURGOS</t>
        </is>
      </c>
      <c r="I39" s="19" t="n"/>
      <c r="J39" s="18">
        <f>IF(TRIM(F39)="","",IF(LEFT(TRIM(F39),2)="RM",IFERROR(IF(D39&gt;=DATE(2026,4,1),INDEX('LP RMH'!$F:$F,MATCH(TRIM(F39),'LP RMH'!$A:$A,0)),INDEX('LP RMH'!$E:$E,MATCH(TRIM(F39),'LP RMH'!$A:$A,0))),0),IFERROR(INDEX('LP MONCAR'!$E:$E,MATCH(TRIM(F39),'LP MONCAR'!$A:$A,0)),0)))</f>
        <v/>
      </c>
      <c r="K39" s="18" t="n">
        <v>20130</v>
      </c>
      <c r="L39" s="16" t="inlineStr">
        <is>
          <t>2025-10</t>
        </is>
      </c>
      <c r="M39" s="16" t="n"/>
      <c r="N39" s="20" t="n">
        <v>2686.473</v>
      </c>
      <c r="O39" s="18" t="n">
        <v>17443.527</v>
      </c>
      <c r="P39" s="16" t="inlineStr">
        <is>
          <t>HIDROLAVADORA</t>
        </is>
      </c>
      <c r="Q39" s="16" t="inlineStr">
        <is>
          <t>FERRETERIA</t>
        </is>
      </c>
      <c r="R39" s="16" t="n"/>
      <c r="S39" s="16" t="n"/>
      <c r="T39" s="16" t="n"/>
      <c r="U39" s="16" t="n"/>
    </row>
    <row r="40">
      <c r="A40" s="37" t="n"/>
      <c r="B40" s="16" t="n">
        <v>1097</v>
      </c>
      <c r="C40" s="16" t="inlineStr">
        <is>
          <t>Maxi</t>
        </is>
      </c>
      <c r="D40" s="17" t="n">
        <v>45944</v>
      </c>
      <c r="E40" s="16" t="inlineStr">
        <is>
          <t>MONCAR</t>
        </is>
      </c>
      <c r="F40" s="16" t="inlineStr">
        <is>
          <t>CE 308</t>
        </is>
      </c>
      <c r="G40" s="18" t="n">
        <v>3</v>
      </c>
      <c r="H40" s="16" t="inlineStr">
        <is>
          <t>BURGOS</t>
        </is>
      </c>
      <c r="I40" s="19" t="n"/>
      <c r="J40" s="18">
        <f>IF(TRIM(F40)="","",IF(LEFT(TRIM(F40),2)="RM",IFERROR(IF(D40&gt;=DATE(2026,4,1),INDEX('LP RMH'!$F:$F,MATCH(TRIM(F40),'LP RMH'!$A:$A,0)),INDEX('LP RMH'!$E:$E,MATCH(TRIM(F40),'LP RMH'!$A:$A,0))),0),IFERROR(INDEX('LP MONCAR'!$E:$E,MATCH(TRIM(F40),'LP MONCAR'!$A:$A,0)),0)))</f>
        <v/>
      </c>
      <c r="K40" s="18" t="n">
        <v>19800</v>
      </c>
      <c r="L40" s="16" t="inlineStr">
        <is>
          <t>2025-10</t>
        </is>
      </c>
      <c r="M40" s="16" t="n"/>
      <c r="N40" s="20" t="n">
        <v>3044.669400000001</v>
      </c>
      <c r="O40" s="18" t="n">
        <v>16755.3306</v>
      </c>
      <c r="P40" s="16" t="inlineStr">
        <is>
          <t>HIDROLAVADORA</t>
        </is>
      </c>
      <c r="Q40" s="16" t="inlineStr">
        <is>
          <t>FERRETERIA</t>
        </is>
      </c>
      <c r="R40" s="16" t="n"/>
      <c r="S40" s="16" t="n"/>
      <c r="T40" s="16" t="n"/>
      <c r="U40" s="16" t="n"/>
    </row>
    <row r="41">
      <c r="A41" s="37" t="n"/>
      <c r="B41" s="16" t="n">
        <v>3954</v>
      </c>
      <c r="C41" s="16" t="inlineStr">
        <is>
          <t>Maxi</t>
        </is>
      </c>
      <c r="D41" s="17" t="n">
        <v>45978</v>
      </c>
      <c r="E41" s="16" t="inlineStr">
        <is>
          <t>MONCAR</t>
        </is>
      </c>
      <c r="F41" s="16" t="inlineStr">
        <is>
          <t>CF 017</t>
        </is>
      </c>
      <c r="G41" s="18" t="n">
        <v>4</v>
      </c>
      <c r="H41" s="16" t="inlineStr">
        <is>
          <t>FERRETERIA DEVOTO</t>
        </is>
      </c>
      <c r="I41" s="19" t="n"/>
      <c r="J41" s="18">
        <f>IF(TRIM(F41)="","",IF(LEFT(TRIM(F41),2)="RM",IFERROR(IF(D41&gt;=DATE(2026,4,1),INDEX('LP RMH'!$F:$F,MATCH(TRIM(F41),'LP RMH'!$A:$A,0)),INDEX('LP RMH'!$E:$E,MATCH(TRIM(F41),'LP RMH'!$A:$A,0))),0),IFERROR(INDEX('LP MONCAR'!$E:$E,MATCH(TRIM(F41),'LP MONCAR'!$A:$A,0)),0)))</f>
        <v/>
      </c>
      <c r="K41" s="18" t="n">
        <v>13680</v>
      </c>
      <c r="L41" s="16" t="inlineStr">
        <is>
          <t>2025-11</t>
        </is>
      </c>
      <c r="M41" s="16" t="n"/>
      <c r="N41" s="20" t="n">
        <v>1790.982</v>
      </c>
      <c r="O41" s="18" t="n">
        <v>11889.018</v>
      </c>
      <c r="P41" s="16" t="inlineStr">
        <is>
          <t>BOSCH</t>
        </is>
      </c>
      <c r="Q41" s="16" t="inlineStr">
        <is>
          <t>FERRETERIA</t>
        </is>
      </c>
      <c r="R41" s="16" t="n"/>
      <c r="S41" s="16" t="n"/>
      <c r="T41" s="16" t="n"/>
      <c r="U41" s="16" t="n"/>
    </row>
    <row r="42">
      <c r="A42" s="37" t="n"/>
      <c r="B42" s="16" t="n">
        <v>3954</v>
      </c>
      <c r="C42" s="16" t="inlineStr">
        <is>
          <t>Maxi</t>
        </is>
      </c>
      <c r="D42" s="17" t="n">
        <v>45978</v>
      </c>
      <c r="E42" s="16" t="inlineStr">
        <is>
          <t>MONCAR</t>
        </is>
      </c>
      <c r="F42" s="16" t="inlineStr">
        <is>
          <t>CF 611</t>
        </is>
      </c>
      <c r="G42" s="18" t="n">
        <v>2</v>
      </c>
      <c r="H42" s="16" t="inlineStr">
        <is>
          <t>FERRETERIA DEVOTO</t>
        </is>
      </c>
      <c r="I42" s="19" t="n"/>
      <c r="J42" s="18">
        <f>IF(TRIM(F42)="","",IF(LEFT(TRIM(F42),2)="RM",IFERROR(IF(D42&gt;=DATE(2026,4,1),INDEX('LP RMH'!$F:$F,MATCH(TRIM(F42),'LP RMH'!$A:$A,0)),INDEX('LP RMH'!$E:$E,MATCH(TRIM(F42),'LP RMH'!$A:$A,0))),0),IFERROR(INDEX('LP MONCAR'!$E:$E,MATCH(TRIM(F42),'LP MONCAR'!$A:$A,0)),0)))</f>
        <v/>
      </c>
      <c r="K42" s="18" t="n">
        <v>7780</v>
      </c>
      <c r="L42" s="16" t="inlineStr">
        <is>
          <t>2025-11</t>
        </is>
      </c>
      <c r="M42" s="16" t="n"/>
      <c r="N42" s="20" t="n">
        <v>1014.8898</v>
      </c>
      <c r="O42" s="18" t="n">
        <v>6765.1102</v>
      </c>
      <c r="P42" s="16" t="inlineStr">
        <is>
          <t>BOSCH</t>
        </is>
      </c>
      <c r="Q42" s="16" t="inlineStr">
        <is>
          <t>FERRETERIA</t>
        </is>
      </c>
      <c r="R42" s="16" t="n"/>
      <c r="S42" s="16" t="n"/>
      <c r="T42" s="16" t="n"/>
      <c r="U42" s="16" t="n"/>
    </row>
    <row r="43">
      <c r="A43" s="37" t="n"/>
      <c r="B43" s="16" t="n">
        <v>3954</v>
      </c>
      <c r="C43" s="16" t="inlineStr">
        <is>
          <t>Maxi</t>
        </is>
      </c>
      <c r="D43" s="17" t="n">
        <v>45978</v>
      </c>
      <c r="E43" s="16" t="inlineStr">
        <is>
          <t>MONCAR</t>
        </is>
      </c>
      <c r="F43" s="16" t="inlineStr">
        <is>
          <t>CF 615</t>
        </is>
      </c>
      <c r="G43" s="18" t="n">
        <v>5</v>
      </c>
      <c r="H43" s="16" t="inlineStr">
        <is>
          <t>FERRETERIA DEVOTO</t>
        </is>
      </c>
      <c r="I43" s="19" t="n"/>
      <c r="J43" s="18">
        <f>IF(TRIM(F43)="","",IF(LEFT(TRIM(F43),2)="RM",IFERROR(IF(D43&gt;=DATE(2026,4,1),INDEX('LP RMH'!$F:$F,MATCH(TRIM(F43),'LP RMH'!$A:$A,0)),INDEX('LP RMH'!$E:$E,MATCH(TRIM(F43),'LP RMH'!$A:$A,0))),0),IFERROR(INDEX('LP MONCAR'!$E:$E,MATCH(TRIM(F43),'LP MONCAR'!$A:$A,0)),0)))</f>
        <v/>
      </c>
      <c r="K43" s="18" t="n">
        <v>16100</v>
      </c>
      <c r="L43" s="16" t="inlineStr">
        <is>
          <t>2025-11</t>
        </is>
      </c>
      <c r="M43" s="16" t="n"/>
      <c r="N43" s="20" t="n">
        <v>2089.479</v>
      </c>
      <c r="O43" s="18" t="n">
        <v>14010.521</v>
      </c>
      <c r="P43" s="16" t="inlineStr">
        <is>
          <t>BOSCH</t>
        </is>
      </c>
      <c r="Q43" s="16" t="inlineStr">
        <is>
          <t>FERRETERIA</t>
        </is>
      </c>
      <c r="R43" s="16" t="n"/>
      <c r="S43" s="16" t="n"/>
      <c r="T43" s="16" t="n"/>
      <c r="U43" s="16" t="n"/>
    </row>
    <row r="44">
      <c r="A44" s="37" t="n"/>
      <c r="B44" s="16" t="n">
        <v>3954</v>
      </c>
      <c r="C44" s="16" t="inlineStr">
        <is>
          <t>Maxi</t>
        </is>
      </c>
      <c r="D44" s="17" t="n">
        <v>45978</v>
      </c>
      <c r="E44" s="16" t="inlineStr">
        <is>
          <t>MONCAR</t>
        </is>
      </c>
      <c r="F44" s="16" t="inlineStr">
        <is>
          <t>CF 028</t>
        </is>
      </c>
      <c r="G44" s="18" t="n">
        <v>2</v>
      </c>
      <c r="H44" s="16" t="inlineStr">
        <is>
          <t>FERRETERIA DEVOTO</t>
        </is>
      </c>
      <c r="I44" s="19" t="n"/>
      <c r="J44" s="18">
        <f>IF(TRIM(F44)="","",IF(LEFT(TRIM(F44),2)="RM",IFERROR(IF(D44&gt;=DATE(2026,4,1),INDEX('LP RMH'!$F:$F,MATCH(TRIM(F44),'LP RMH'!$A:$A,0)),INDEX('LP RMH'!$E:$E,MATCH(TRIM(F44),'LP RMH'!$A:$A,0))),0),IFERROR(INDEX('LP MONCAR'!$E:$E,MATCH(TRIM(F44),'LP MONCAR'!$A:$A,0)),0)))</f>
        <v/>
      </c>
      <c r="K44" s="18" t="n">
        <v>10160</v>
      </c>
      <c r="L44" s="16" t="inlineStr">
        <is>
          <t>2025-11</t>
        </is>
      </c>
      <c r="M44" s="16" t="n"/>
      <c r="N44" s="20" t="n">
        <v>1313.3868</v>
      </c>
      <c r="O44" s="18" t="n">
        <v>8846.6132</v>
      </c>
      <c r="P44" s="16" t="inlineStr">
        <is>
          <t>DOVER</t>
        </is>
      </c>
      <c r="Q44" s="16" t="inlineStr">
        <is>
          <t>FERRETERIA</t>
        </is>
      </c>
      <c r="R44" s="16" t="n"/>
      <c r="S44" s="16" t="n"/>
      <c r="T44" s="16" t="n"/>
      <c r="U44" s="16" t="n"/>
    </row>
    <row r="45">
      <c r="A45" s="37" t="n"/>
      <c r="B45" s="16" t="n">
        <v>3954</v>
      </c>
      <c r="C45" s="16" t="inlineStr">
        <is>
          <t>Maxi</t>
        </is>
      </c>
      <c r="D45" s="17" t="n">
        <v>45978</v>
      </c>
      <c r="E45" s="16" t="inlineStr">
        <is>
          <t>MONCAR</t>
        </is>
      </c>
      <c r="F45" s="16" t="inlineStr">
        <is>
          <t>CF 648</t>
        </is>
      </c>
      <c r="G45" s="18" t="n">
        <v>4</v>
      </c>
      <c r="H45" s="16" t="inlineStr">
        <is>
          <t>FERRETERIA DEVOTO</t>
        </is>
      </c>
      <c r="I45" s="19" t="n"/>
      <c r="J45" s="18">
        <f>IF(TRIM(F45)="","",IF(LEFT(TRIM(F45),2)="RM",IFERROR(IF(D45&gt;=DATE(2026,4,1),INDEX('LP RMH'!$F:$F,MATCH(TRIM(F45),'LP RMH'!$A:$A,0)),INDEX('LP RMH'!$E:$E,MATCH(TRIM(F45),'LP RMH'!$A:$A,0))),0),IFERROR(INDEX('LP MONCAR'!$E:$E,MATCH(TRIM(F45),'LP MONCAR'!$A:$A,0)),0)))</f>
        <v/>
      </c>
      <c r="K45" s="18" t="n">
        <v>10120</v>
      </c>
      <c r="L45" s="16" t="inlineStr">
        <is>
          <t>2025-11</t>
        </is>
      </c>
      <c r="M45" s="16" t="n"/>
      <c r="N45" s="20" t="n"/>
      <c r="O45" s="18" t="n"/>
      <c r="P45" s="16" t="inlineStr">
        <is>
          <t>SKIL</t>
        </is>
      </c>
      <c r="Q45" s="16" t="inlineStr">
        <is>
          <t>FERRETERIA</t>
        </is>
      </c>
      <c r="R45" s="16" t="n"/>
      <c r="S45" s="16" t="n"/>
      <c r="T45" s="16" t="n"/>
      <c r="U45" s="16" t="n"/>
    </row>
    <row r="46">
      <c r="A46" s="37" t="n"/>
      <c r="B46" s="16" t="n">
        <v>1139</v>
      </c>
      <c r="C46" s="16" t="inlineStr">
        <is>
          <t>Maxi</t>
        </is>
      </c>
      <c r="D46" s="17" t="n">
        <v>45960</v>
      </c>
      <c r="E46" s="16" t="inlineStr">
        <is>
          <t>MONCAR</t>
        </is>
      </c>
      <c r="F46" s="16" t="inlineStr">
        <is>
          <t>CF 663</t>
        </is>
      </c>
      <c r="G46" s="18" t="n">
        <v>4</v>
      </c>
      <c r="H46" s="16" t="inlineStr">
        <is>
          <t>FERRETERIA CHARCAS</t>
        </is>
      </c>
      <c r="I46" s="19" t="n"/>
      <c r="J46" s="18">
        <f>IF(TRIM(F46)="","",IF(LEFT(TRIM(F46),2)="RM",IFERROR(IF(D46&gt;=DATE(2026,4,1),INDEX('LP RMH'!$F:$F,MATCH(TRIM(F46),'LP RMH'!$A:$A,0)),INDEX('LP RMH'!$E:$E,MATCH(TRIM(F46),'LP RMH'!$A:$A,0))),0),IFERROR(INDEX('LP MONCAR'!$E:$E,MATCH(TRIM(F46),'LP MONCAR'!$A:$A,0)),0)))</f>
        <v/>
      </c>
      <c r="K46" s="18" t="n">
        <v>19320</v>
      </c>
      <c r="L46" s="16" t="inlineStr">
        <is>
          <t>2025-10</t>
        </is>
      </c>
      <c r="M46" s="16" t="n"/>
      <c r="N46" s="20" t="n">
        <v>2746.1724</v>
      </c>
      <c r="O46" s="18" t="n">
        <v>16573.8276</v>
      </c>
      <c r="P46" s="16" t="inlineStr">
        <is>
          <t>BLACK Y DECKER</t>
        </is>
      </c>
      <c r="Q46" s="16" t="inlineStr">
        <is>
          <t>FERRETERIA</t>
        </is>
      </c>
      <c r="R46" s="16" t="n"/>
      <c r="S46" s="16" t="n"/>
      <c r="T46" s="16" t="n"/>
      <c r="U46" s="16" t="n"/>
    </row>
    <row r="47">
      <c r="A47" s="37" t="n"/>
      <c r="B47" s="16" t="n">
        <v>1139</v>
      </c>
      <c r="C47" s="16" t="inlineStr">
        <is>
          <t>Maxi</t>
        </is>
      </c>
      <c r="D47" s="17" t="n">
        <v>45960</v>
      </c>
      <c r="E47" s="16" t="inlineStr">
        <is>
          <t>MONCAR</t>
        </is>
      </c>
      <c r="F47" s="16" t="inlineStr">
        <is>
          <t>CF 665</t>
        </is>
      </c>
      <c r="G47" s="18" t="n">
        <v>10</v>
      </c>
      <c r="H47" s="16" t="inlineStr">
        <is>
          <t>FERRETERIA CHARCAS</t>
        </is>
      </c>
      <c r="I47" s="19" t="n"/>
      <c r="J47" s="18">
        <f>IF(TRIM(F47)="","",IF(LEFT(TRIM(F47),2)="RM",IFERROR(IF(D47&gt;=DATE(2026,4,1),INDEX('LP RMH'!$F:$F,MATCH(TRIM(F47),'LP RMH'!$A:$A,0)),INDEX('LP RMH'!$E:$E,MATCH(TRIM(F47),'LP RMH'!$A:$A,0))),0),IFERROR(INDEX('LP MONCAR'!$E:$E,MATCH(TRIM(F47),'LP MONCAR'!$A:$A,0)),0)))</f>
        <v/>
      </c>
      <c r="K47" s="18" t="n">
        <v>23000</v>
      </c>
      <c r="L47" s="16" t="inlineStr">
        <is>
          <t>2025-10</t>
        </is>
      </c>
      <c r="M47" s="16" t="n"/>
      <c r="N47" s="20" t="n">
        <v>2984.97</v>
      </c>
      <c r="O47" s="18" t="n">
        <v>20015.03</v>
      </c>
      <c r="P47" s="16" t="inlineStr">
        <is>
          <t>BLACK Y DECKER</t>
        </is>
      </c>
      <c r="Q47" s="16" t="inlineStr">
        <is>
          <t>FERRETERIA</t>
        </is>
      </c>
      <c r="R47" s="16" t="n"/>
      <c r="S47" s="16" t="n"/>
      <c r="T47" s="16" t="n"/>
      <c r="U47" s="16" t="n"/>
    </row>
    <row r="48">
      <c r="A48" s="37" t="n"/>
      <c r="B48" s="16" t="n">
        <v>1139</v>
      </c>
      <c r="C48" s="16" t="inlineStr">
        <is>
          <t>Maxi</t>
        </is>
      </c>
      <c r="D48" s="17" t="n">
        <v>45960</v>
      </c>
      <c r="E48" s="16" t="inlineStr">
        <is>
          <t>MONCAR</t>
        </is>
      </c>
      <c r="F48" s="16" t="inlineStr">
        <is>
          <t>CF 666</t>
        </is>
      </c>
      <c r="G48" s="18" t="n">
        <v>4</v>
      </c>
      <c r="H48" s="16" t="inlineStr">
        <is>
          <t>FERRETERIA CHARCAS</t>
        </is>
      </c>
      <c r="I48" s="19" t="n"/>
      <c r="J48" s="18">
        <f>IF(TRIM(F48)="","",IF(LEFT(TRIM(F48),2)="RM",IFERROR(IF(D48&gt;=DATE(2026,4,1),INDEX('LP RMH'!$F:$F,MATCH(TRIM(F48),'LP RMH'!$A:$A,0)),INDEX('LP RMH'!$E:$E,MATCH(TRIM(F48),'LP RMH'!$A:$A,0))),0),IFERROR(INDEX('LP MONCAR'!$E:$E,MATCH(TRIM(F48),'LP MONCAR'!$A:$A,0)),0)))</f>
        <v/>
      </c>
      <c r="K48" s="18" t="n">
        <v>9200</v>
      </c>
      <c r="L48" s="16" t="inlineStr">
        <is>
          <t>2025-10</t>
        </is>
      </c>
      <c r="M48" s="16" t="n"/>
      <c r="N48" s="20" t="n">
        <v>1193.988</v>
      </c>
      <c r="O48" s="18" t="n">
        <v>8006.012</v>
      </c>
      <c r="P48" s="16" t="inlineStr">
        <is>
          <t>BLACK Y DECKER</t>
        </is>
      </c>
      <c r="Q48" s="16" t="inlineStr">
        <is>
          <t>FERRETERIA</t>
        </is>
      </c>
      <c r="R48" s="16" t="n"/>
      <c r="S48" s="16" t="n"/>
      <c r="T48" s="16" t="n"/>
      <c r="U48" s="16" t="n"/>
    </row>
    <row r="49">
      <c r="A49" s="37" t="n"/>
      <c r="B49" s="16" t="n">
        <v>1139</v>
      </c>
      <c r="C49" s="16" t="inlineStr">
        <is>
          <t>Maxi</t>
        </is>
      </c>
      <c r="D49" s="17" t="n">
        <v>45960</v>
      </c>
      <c r="E49" s="16" t="inlineStr">
        <is>
          <t>MONCAR</t>
        </is>
      </c>
      <c r="F49" s="16" t="inlineStr">
        <is>
          <t>CF 017</t>
        </is>
      </c>
      <c r="G49" s="18" t="n">
        <v>3</v>
      </c>
      <c r="H49" s="16" t="inlineStr">
        <is>
          <t>FERRETERIA CHARCAS</t>
        </is>
      </c>
      <c r="I49" s="19" t="n"/>
      <c r="J49" s="18">
        <f>IF(TRIM(F49)="","",IF(LEFT(TRIM(F49),2)="RM",IFERROR(IF(D49&gt;=DATE(2026,4,1),INDEX('LP RMH'!$F:$F,MATCH(TRIM(F49),'LP RMH'!$A:$A,0)),INDEX('LP RMH'!$E:$E,MATCH(TRIM(F49),'LP RMH'!$A:$A,0))),0),IFERROR(INDEX('LP MONCAR'!$E:$E,MATCH(TRIM(F49),'LP MONCAR'!$A:$A,0)),0)))</f>
        <v/>
      </c>
      <c r="K49" s="18" t="n">
        <v>10260</v>
      </c>
      <c r="L49" s="16" t="inlineStr">
        <is>
          <t>2025-10</t>
        </is>
      </c>
      <c r="M49" s="16" t="n"/>
      <c r="N49" s="20" t="n">
        <v>1343.2365</v>
      </c>
      <c r="O49" s="18" t="n">
        <v>8916.763500000001</v>
      </c>
      <c r="P49" s="16" t="inlineStr">
        <is>
          <t>BOSCH</t>
        </is>
      </c>
      <c r="Q49" s="16" t="inlineStr">
        <is>
          <t>FERRETERIA</t>
        </is>
      </c>
      <c r="R49" s="16" t="n"/>
      <c r="S49" s="16" t="n"/>
      <c r="T49" s="16" t="n"/>
      <c r="U49" s="16" t="n"/>
    </row>
    <row r="50">
      <c r="A50" s="37" t="n"/>
      <c r="B50" s="16" t="n">
        <v>1139</v>
      </c>
      <c r="C50" s="16" t="inlineStr">
        <is>
          <t>Maxi</t>
        </is>
      </c>
      <c r="D50" s="17" t="n">
        <v>45960</v>
      </c>
      <c r="E50" s="16" t="inlineStr">
        <is>
          <t>MONCAR</t>
        </is>
      </c>
      <c r="F50" s="16" t="inlineStr">
        <is>
          <t>CF 019</t>
        </is>
      </c>
      <c r="G50" s="18" t="n">
        <v>5</v>
      </c>
      <c r="H50" s="16" t="inlineStr">
        <is>
          <t>FERRETERIA CHARCAS</t>
        </is>
      </c>
      <c r="I50" s="19" t="n"/>
      <c r="J50" s="18">
        <f>IF(TRIM(F50)="","",IF(LEFT(TRIM(F50),2)="RM",IFERROR(IF(D50&gt;=DATE(2026,4,1),INDEX('LP RMH'!$F:$F,MATCH(TRIM(F50),'LP RMH'!$A:$A,0)),INDEX('LP RMH'!$E:$E,MATCH(TRIM(F50),'LP RMH'!$A:$A,0))),0),IFERROR(INDEX('LP MONCAR'!$E:$E,MATCH(TRIM(F50),'LP MONCAR'!$A:$A,0)),0)))</f>
        <v/>
      </c>
      <c r="K50" s="18" t="n">
        <v>16100</v>
      </c>
      <c r="L50" s="16" t="inlineStr">
        <is>
          <t>2025-10</t>
        </is>
      </c>
      <c r="M50" s="16" t="n"/>
      <c r="N50" s="20" t="n">
        <v>2238.7275</v>
      </c>
      <c r="O50" s="18" t="n">
        <v>13861.2725</v>
      </c>
      <c r="P50" s="16" t="inlineStr">
        <is>
          <t>BOSCH</t>
        </is>
      </c>
      <c r="Q50" s="16" t="inlineStr">
        <is>
          <t>FERRETERIA</t>
        </is>
      </c>
      <c r="R50" s="16" t="n"/>
      <c r="S50" s="16" t="n"/>
      <c r="T50" s="16" t="n"/>
      <c r="U50" s="16" t="n"/>
    </row>
    <row r="51">
      <c r="A51" s="37" t="n"/>
      <c r="B51" s="16" t="n">
        <v>1139</v>
      </c>
      <c r="C51" s="16" t="inlineStr">
        <is>
          <t>Maxi</t>
        </is>
      </c>
      <c r="D51" s="17" t="n">
        <v>45960</v>
      </c>
      <c r="E51" s="16" t="inlineStr">
        <is>
          <t>MONCAR</t>
        </is>
      </c>
      <c r="F51" s="16" t="inlineStr">
        <is>
          <t>CF 020</t>
        </is>
      </c>
      <c r="G51" s="18" t="n">
        <v>5</v>
      </c>
      <c r="H51" s="16" t="inlineStr">
        <is>
          <t>FERRETERIA CHARCAS</t>
        </is>
      </c>
      <c r="I51" s="19" t="n"/>
      <c r="J51" s="18">
        <f>IF(TRIM(F51)="","",IF(LEFT(TRIM(F51),2)="RM",IFERROR(IF(D51&gt;=DATE(2026,4,1),INDEX('LP RMH'!$F:$F,MATCH(TRIM(F51),'LP RMH'!$A:$A,0)),INDEX('LP RMH'!$E:$E,MATCH(TRIM(F51),'LP RMH'!$A:$A,0))),0),IFERROR(INDEX('LP MONCAR'!$E:$E,MATCH(TRIM(F51),'LP MONCAR'!$A:$A,0)),0)))</f>
        <v/>
      </c>
      <c r="K51" s="18" t="n">
        <v>25650</v>
      </c>
      <c r="L51" s="16" t="inlineStr">
        <is>
          <t>2025-10</t>
        </is>
      </c>
      <c r="M51" s="16" t="n"/>
      <c r="N51" s="20" t="n">
        <v>3432.7155</v>
      </c>
      <c r="O51" s="18" t="n">
        <v>22217.2845</v>
      </c>
      <c r="P51" s="16" t="inlineStr">
        <is>
          <t>BOSCH</t>
        </is>
      </c>
      <c r="Q51" s="16" t="inlineStr">
        <is>
          <t>FERRETERIA</t>
        </is>
      </c>
      <c r="R51" s="16" t="n"/>
      <c r="S51" s="16" t="n"/>
      <c r="T51" s="16" t="n"/>
      <c r="U51" s="16" t="n"/>
    </row>
    <row r="52">
      <c r="A52" s="37" t="n"/>
      <c r="B52" s="16" t="n">
        <v>1139</v>
      </c>
      <c r="C52" s="16" t="inlineStr">
        <is>
          <t>Maxi</t>
        </is>
      </c>
      <c r="D52" s="17" t="n">
        <v>45960</v>
      </c>
      <c r="E52" s="16" t="inlineStr">
        <is>
          <t>MONCAR</t>
        </is>
      </c>
      <c r="F52" s="16" t="inlineStr">
        <is>
          <t>CF 711</t>
        </is>
      </c>
      <c r="G52" s="18" t="n">
        <v>4</v>
      </c>
      <c r="H52" s="16" t="inlineStr">
        <is>
          <t>FERRETERIA CHARCAS</t>
        </is>
      </c>
      <c r="I52" s="19" t="n"/>
      <c r="J52" s="18">
        <f>IF(TRIM(F52)="","",IF(LEFT(TRIM(F52),2)="RM",IFERROR(IF(D52&gt;=DATE(2026,4,1),INDEX('LP RMH'!$F:$F,MATCH(TRIM(F52),'LP RMH'!$A:$A,0)),INDEX('LP RMH'!$E:$E,MATCH(TRIM(F52),'LP RMH'!$A:$A,0))),0),IFERROR(INDEX('LP MONCAR'!$E:$E,MATCH(TRIM(F52),'LP MONCAR'!$A:$A,0)),0)))</f>
        <v/>
      </c>
      <c r="K52" s="18" t="n">
        <v>12240</v>
      </c>
      <c r="L52" s="16" t="inlineStr">
        <is>
          <t>2025-10</t>
        </is>
      </c>
      <c r="M52" s="16" t="n"/>
      <c r="N52" s="20" t="n">
        <v>2029.7796</v>
      </c>
      <c r="O52" s="18" t="n">
        <v>10210.2204</v>
      </c>
      <c r="P52" s="16" t="inlineStr">
        <is>
          <t>GAMMA</t>
        </is>
      </c>
      <c r="Q52" s="16" t="inlineStr">
        <is>
          <t>FERRETERIA</t>
        </is>
      </c>
      <c r="R52" s="16" t="n"/>
      <c r="S52" s="16" t="n"/>
      <c r="T52" s="16" t="n"/>
      <c r="U52" s="16" t="n"/>
    </row>
    <row r="53">
      <c r="A53" s="37" t="n"/>
      <c r="B53" s="16" t="n">
        <v>1139</v>
      </c>
      <c r="C53" s="16" t="inlineStr">
        <is>
          <t>Maxi</t>
        </is>
      </c>
      <c r="D53" s="17" t="n">
        <v>45960</v>
      </c>
      <c r="E53" s="16" t="inlineStr">
        <is>
          <t>MONCAR</t>
        </is>
      </c>
      <c r="F53" s="16" t="inlineStr">
        <is>
          <t>CF 041</t>
        </is>
      </c>
      <c r="G53" s="18" t="n">
        <v>2</v>
      </c>
      <c r="H53" s="16" t="inlineStr">
        <is>
          <t>FERRETERIA CHARCAS</t>
        </is>
      </c>
      <c r="I53" s="19" t="n"/>
      <c r="J53" s="18">
        <f>IF(TRIM(F53)="","",IF(LEFT(TRIM(F53),2)="RM",IFERROR(IF(D53&gt;=DATE(2026,4,1),INDEX('LP RMH'!$F:$F,MATCH(TRIM(F53),'LP RMH'!$A:$A,0)),INDEX('LP RMH'!$E:$E,MATCH(TRIM(F53),'LP RMH'!$A:$A,0))),0),IFERROR(INDEX('LP MONCAR'!$E:$E,MATCH(TRIM(F53),'LP MONCAR'!$A:$A,0)),0)))</f>
        <v/>
      </c>
      <c r="K53" s="18" t="n">
        <v>5060</v>
      </c>
      <c r="L53" s="16" t="inlineStr">
        <is>
          <t>2025-10</t>
        </is>
      </c>
      <c r="M53" s="16" t="n"/>
      <c r="N53" s="20" t="n">
        <v>656.6934</v>
      </c>
      <c r="O53" s="18" t="n">
        <v>4403.3066</v>
      </c>
      <c r="P53" s="16" t="inlineStr">
        <is>
          <t>HITACHI</t>
        </is>
      </c>
      <c r="Q53" s="16" t="inlineStr">
        <is>
          <t>FERRETERIA</t>
        </is>
      </c>
      <c r="R53" s="16" t="n"/>
      <c r="S53" s="16" t="n"/>
      <c r="T53" s="16" t="n"/>
      <c r="U53" s="16" t="n"/>
    </row>
    <row r="54">
      <c r="A54" s="37" t="n"/>
      <c r="B54" s="16" t="n">
        <v>1139</v>
      </c>
      <c r="C54" s="16" t="inlineStr">
        <is>
          <t>Maxi</t>
        </is>
      </c>
      <c r="D54" s="17" t="n">
        <v>45960</v>
      </c>
      <c r="E54" s="16" t="inlineStr">
        <is>
          <t>MONCAR</t>
        </is>
      </c>
      <c r="F54" s="16" t="inlineStr">
        <is>
          <t>CF 042</t>
        </is>
      </c>
      <c r="G54" s="18" t="n">
        <v>5</v>
      </c>
      <c r="H54" s="16" t="inlineStr">
        <is>
          <t>FERRETERIA CHARCAS</t>
        </is>
      </c>
      <c r="I54" s="19" t="n"/>
      <c r="J54" s="18">
        <f>IF(TRIM(F54)="","",IF(LEFT(TRIM(F54),2)="RM",IFERROR(IF(D54&gt;=DATE(2026,4,1),INDEX('LP RMH'!$F:$F,MATCH(TRIM(F54),'LP RMH'!$A:$A,0)),INDEX('LP RMH'!$E:$E,MATCH(TRIM(F54),'LP RMH'!$A:$A,0))),0),IFERROR(INDEX('LP MONCAR'!$E:$E,MATCH(TRIM(F54),'LP MONCAR'!$A:$A,0)),0)))</f>
        <v/>
      </c>
      <c r="K54" s="18" t="n">
        <v>25150</v>
      </c>
      <c r="L54" s="16" t="inlineStr">
        <is>
          <t>2025-10</t>
        </is>
      </c>
      <c r="M54" s="16" t="n"/>
      <c r="N54" s="20" t="n">
        <v>3283.467</v>
      </c>
      <c r="O54" s="18" t="n">
        <v>21866.533</v>
      </c>
      <c r="P54" s="16" t="inlineStr">
        <is>
          <t>HITACHI</t>
        </is>
      </c>
      <c r="Q54" s="16" t="inlineStr">
        <is>
          <t>FERRETERIA</t>
        </is>
      </c>
      <c r="R54" s="16" t="n"/>
      <c r="S54" s="16" t="n"/>
      <c r="T54" s="16" t="n"/>
      <c r="U54" s="16" t="n"/>
    </row>
    <row r="55">
      <c r="A55" s="37" t="n"/>
      <c r="B55" s="16" t="n">
        <v>1139</v>
      </c>
      <c r="C55" s="16" t="inlineStr">
        <is>
          <t>Maxi</t>
        </is>
      </c>
      <c r="D55" s="17" t="n">
        <v>45960</v>
      </c>
      <c r="E55" s="16" t="inlineStr">
        <is>
          <t>MONCAR</t>
        </is>
      </c>
      <c r="F55" s="16" t="inlineStr">
        <is>
          <t>CE 006</t>
        </is>
      </c>
      <c r="G55" s="18" t="n">
        <v>5</v>
      </c>
      <c r="H55" s="16" t="inlineStr">
        <is>
          <t>FERRETERIA CHARCAS</t>
        </is>
      </c>
      <c r="I55" s="19" t="n"/>
      <c r="J55" s="18">
        <f>IF(TRIM(F55)="","",IF(LEFT(TRIM(F55),2)="RM",IFERROR(IF(D55&gt;=DATE(2026,4,1),INDEX('LP RMH'!$F:$F,MATCH(TRIM(F55),'LP RMH'!$A:$A,0)),INDEX('LP RMH'!$E:$E,MATCH(TRIM(F55),'LP RMH'!$A:$A,0))),0),IFERROR(INDEX('LP MONCAR'!$E:$E,MATCH(TRIM(F55),'LP MONCAR'!$A:$A,0)),0)))</f>
        <v/>
      </c>
      <c r="K55" s="18" t="n">
        <v>25400</v>
      </c>
      <c r="L55" s="16" t="inlineStr">
        <is>
          <t>2025-10</t>
        </is>
      </c>
      <c r="M55" s="16" t="n"/>
      <c r="N55" s="20" t="n">
        <v>3283.467</v>
      </c>
      <c r="O55" s="18" t="n">
        <v>22116.533</v>
      </c>
      <c r="P55" s="16" t="inlineStr">
        <is>
          <t>ASPIRADORA</t>
        </is>
      </c>
      <c r="Q55" s="16" t="inlineStr">
        <is>
          <t>FERRETERIA</t>
        </is>
      </c>
      <c r="R55" s="16" t="n"/>
      <c r="S55" s="16" t="n"/>
      <c r="T55" s="16" t="n"/>
      <c r="U55" s="16" t="n"/>
    </row>
    <row r="56">
      <c r="A56" s="37" t="n"/>
      <c r="B56" s="16" t="n">
        <v>1139</v>
      </c>
      <c r="C56" s="16" t="inlineStr">
        <is>
          <t>Maxi</t>
        </is>
      </c>
      <c r="D56" s="17" t="n">
        <v>45960</v>
      </c>
      <c r="E56" s="16" t="inlineStr">
        <is>
          <t>MONCAR</t>
        </is>
      </c>
      <c r="F56" s="16" t="inlineStr">
        <is>
          <t>CF 500</t>
        </is>
      </c>
      <c r="G56" s="18" t="n">
        <v>5</v>
      </c>
      <c r="H56" s="16" t="inlineStr">
        <is>
          <t>FERRETERIA CHARCAS</t>
        </is>
      </c>
      <c r="I56" s="19" t="n"/>
      <c r="J56" s="18">
        <f>IF(TRIM(F56)="","",IF(LEFT(TRIM(F56),2)="RM",IFERROR(IF(D56&gt;=DATE(2026,4,1),INDEX('LP RMH'!$F:$F,MATCH(TRIM(F56),'LP RMH'!$A:$A,0)),INDEX('LP RMH'!$E:$E,MATCH(TRIM(F56),'LP RMH'!$A:$A,0))),0),IFERROR(INDEX('LP MONCAR'!$E:$E,MATCH(TRIM(F56),'LP MONCAR'!$A:$A,0)),0)))</f>
        <v/>
      </c>
      <c r="K56" s="18" t="n">
        <v>10250</v>
      </c>
      <c r="L56" s="16" t="inlineStr">
        <is>
          <t>2025-10</t>
        </is>
      </c>
      <c r="M56" s="16" t="n"/>
      <c r="N56" s="20" t="n">
        <v>1343.2365</v>
      </c>
      <c r="O56" s="18" t="n">
        <v>8906.763499999999</v>
      </c>
      <c r="P56" s="16" t="inlineStr">
        <is>
          <t>STINGRAY</t>
        </is>
      </c>
      <c r="Q56" s="16" t="inlineStr">
        <is>
          <t>FERRETERIA</t>
        </is>
      </c>
      <c r="R56" s="16" t="n"/>
      <c r="S56" s="16" t="n"/>
      <c r="T56" s="16" t="n"/>
      <c r="U56" s="16" t="n"/>
    </row>
    <row r="57">
      <c r="A57" s="37" t="n"/>
      <c r="B57" s="16" t="n">
        <v>1140</v>
      </c>
      <c r="C57" s="16" t="inlineStr">
        <is>
          <t>Maxi</t>
        </is>
      </c>
      <c r="D57" s="17" t="n">
        <v>45960</v>
      </c>
      <c r="E57" s="16" t="inlineStr">
        <is>
          <t>MONCAR</t>
        </is>
      </c>
      <c r="F57" s="16" t="inlineStr">
        <is>
          <t>CF 665</t>
        </is>
      </c>
      <c r="G57" s="18" t="n">
        <v>6</v>
      </c>
      <c r="H57" s="16" t="inlineStr">
        <is>
          <t>DEL VALLE</t>
        </is>
      </c>
      <c r="I57" s="19" t="n"/>
      <c r="J57" s="18">
        <f>IF(TRIM(F57)="","",IF(LEFT(TRIM(F57),2)="RM",IFERROR(IF(D57&gt;=DATE(2026,4,1),INDEX('LP RMH'!$F:$F,MATCH(TRIM(F57),'LP RMH'!$A:$A,0)),INDEX('LP RMH'!$E:$E,MATCH(TRIM(F57),'LP RMH'!$A:$A,0))),0),IFERROR(INDEX('LP MONCAR'!$E:$E,MATCH(TRIM(F57),'LP MONCAR'!$A:$A,0)),0)))</f>
        <v/>
      </c>
      <c r="K57" s="18" t="n">
        <v>13800</v>
      </c>
      <c r="L57" s="16" t="inlineStr">
        <is>
          <t>2025-10</t>
        </is>
      </c>
      <c r="M57" s="16" t="n"/>
      <c r="N57" s="20" t="n">
        <v>1790.982</v>
      </c>
      <c r="O57" s="18" t="n">
        <v>12009.018</v>
      </c>
      <c r="P57" s="16" t="inlineStr">
        <is>
          <t>BLACK Y DECKER</t>
        </is>
      </c>
      <c r="Q57" s="16" t="inlineStr">
        <is>
          <t>FERRETERIA</t>
        </is>
      </c>
      <c r="R57" s="16" t="n"/>
      <c r="S57" s="16" t="n"/>
      <c r="T57" s="16" t="n"/>
      <c r="U57" s="16" t="n"/>
    </row>
    <row r="58">
      <c r="A58" s="37" t="n"/>
      <c r="B58" s="16" t="n">
        <v>1140</v>
      </c>
      <c r="C58" s="16" t="inlineStr">
        <is>
          <t>Maxi</t>
        </is>
      </c>
      <c r="D58" s="17" t="n">
        <v>45960</v>
      </c>
      <c r="E58" s="16" t="inlineStr">
        <is>
          <t>MONCAR</t>
        </is>
      </c>
      <c r="F58" s="16" t="inlineStr">
        <is>
          <t>CF 674</t>
        </is>
      </c>
      <c r="G58" s="18" t="n">
        <v>6</v>
      </c>
      <c r="H58" s="16" t="inlineStr">
        <is>
          <t>DEL VALLE</t>
        </is>
      </c>
      <c r="I58" s="19" t="n"/>
      <c r="J58" s="18">
        <f>IF(TRIM(F58)="","",IF(LEFT(TRIM(F58),2)="RM",IFERROR(IF(D58&gt;=DATE(2026,4,1),INDEX('LP RMH'!$F:$F,MATCH(TRIM(F58),'LP RMH'!$A:$A,0)),INDEX('LP RMH'!$E:$E,MATCH(TRIM(F58),'LP RMH'!$A:$A,0))),0),IFERROR(INDEX('LP MONCAR'!$E:$E,MATCH(TRIM(F58),'LP MONCAR'!$A:$A,0)),0)))</f>
        <v/>
      </c>
      <c r="K58" s="18" t="n">
        <v>13800</v>
      </c>
      <c r="L58" s="16" t="inlineStr">
        <is>
          <t>2025-10</t>
        </is>
      </c>
      <c r="M58" s="16" t="n"/>
      <c r="N58" s="20" t="n">
        <v>1790.982</v>
      </c>
      <c r="O58" s="18" t="n">
        <v>12009.018</v>
      </c>
      <c r="P58" s="16" t="inlineStr">
        <is>
          <t>BLACK Y DECKER</t>
        </is>
      </c>
      <c r="Q58" s="16" t="inlineStr">
        <is>
          <t>FERRETERIA</t>
        </is>
      </c>
      <c r="R58" s="16" t="n"/>
      <c r="S58" s="16" t="n"/>
      <c r="T58" s="16" t="n"/>
      <c r="U58" s="16" t="n"/>
    </row>
    <row r="59">
      <c r="A59" s="37" t="n"/>
      <c r="B59" s="16" t="n">
        <v>1140</v>
      </c>
      <c r="C59" s="16" t="inlineStr">
        <is>
          <t>Maxi</t>
        </is>
      </c>
      <c r="D59" s="17" t="n">
        <v>45960</v>
      </c>
      <c r="E59" s="16" t="inlineStr">
        <is>
          <t>MONCAR</t>
        </is>
      </c>
      <c r="F59" s="16" t="inlineStr">
        <is>
          <t>CF 017</t>
        </is>
      </c>
      <c r="G59" s="18" t="n">
        <v>8</v>
      </c>
      <c r="H59" s="16" t="inlineStr">
        <is>
          <t>DEL VALLE</t>
        </is>
      </c>
      <c r="I59" s="19" t="n"/>
      <c r="J59" s="18">
        <f>IF(TRIM(F59)="","",IF(LEFT(TRIM(F59),2)="RM",IFERROR(IF(D59&gt;=DATE(2026,4,1),INDEX('LP RMH'!$F:$F,MATCH(TRIM(F59),'LP RMH'!$A:$A,0)),INDEX('LP RMH'!$E:$E,MATCH(TRIM(F59),'LP RMH'!$A:$A,0))),0),IFERROR(INDEX('LP MONCAR'!$E:$E,MATCH(TRIM(F59),'LP MONCAR'!$A:$A,0)),0)))</f>
        <v/>
      </c>
      <c r="K59" s="18" t="n">
        <v>27360</v>
      </c>
      <c r="L59" s="16" t="inlineStr">
        <is>
          <t>2025-10</t>
        </is>
      </c>
      <c r="M59" s="16" t="n"/>
      <c r="N59" s="20" t="n">
        <v>3581.964</v>
      </c>
      <c r="O59" s="18" t="n">
        <v>23778.036</v>
      </c>
      <c r="P59" s="16" t="inlineStr">
        <is>
          <t>BOSCH</t>
        </is>
      </c>
      <c r="Q59" s="16" t="inlineStr">
        <is>
          <t>FERRETERIA</t>
        </is>
      </c>
      <c r="R59" s="16" t="n"/>
      <c r="S59" s="16" t="n"/>
      <c r="T59" s="16" t="n"/>
      <c r="U59" s="16" t="n"/>
    </row>
    <row r="60">
      <c r="A60" s="37" t="n"/>
      <c r="B60" s="16" t="n">
        <v>1140</v>
      </c>
      <c r="C60" s="16" t="inlineStr">
        <is>
          <t>Maxi</t>
        </is>
      </c>
      <c r="D60" s="17" t="n">
        <v>45960</v>
      </c>
      <c r="E60" s="16" t="inlineStr">
        <is>
          <t>MONCAR</t>
        </is>
      </c>
      <c r="F60" s="16" t="inlineStr">
        <is>
          <t>CF 019</t>
        </is>
      </c>
      <c r="G60" s="18" t="n">
        <v>8</v>
      </c>
      <c r="H60" s="16" t="inlineStr">
        <is>
          <t>DEL VALLE</t>
        </is>
      </c>
      <c r="I60" s="19" t="n"/>
      <c r="J60" s="18">
        <f>IF(TRIM(F60)="","",IF(LEFT(TRIM(F60),2)="RM",IFERROR(IF(D60&gt;=DATE(2026,4,1),INDEX('LP RMH'!$F:$F,MATCH(TRIM(F60),'LP RMH'!$A:$A,0)),INDEX('LP RMH'!$E:$E,MATCH(TRIM(F60),'LP RMH'!$A:$A,0))),0),IFERROR(INDEX('LP MONCAR'!$E:$E,MATCH(TRIM(F60),'LP MONCAR'!$A:$A,0)),0)))</f>
        <v/>
      </c>
      <c r="K60" s="18" t="n">
        <v>25760</v>
      </c>
      <c r="L60" s="16" t="inlineStr">
        <is>
          <t>2025-10</t>
        </is>
      </c>
      <c r="M60" s="16" t="n"/>
      <c r="N60" s="20" t="n">
        <v>3581.964</v>
      </c>
      <c r="O60" s="18" t="n">
        <v>22178.036</v>
      </c>
      <c r="P60" s="16" t="inlineStr">
        <is>
          <t>BOSCH</t>
        </is>
      </c>
      <c r="Q60" s="16" t="inlineStr">
        <is>
          <t>FERRETERIA</t>
        </is>
      </c>
      <c r="R60" s="16" t="n"/>
      <c r="S60" s="16" t="n"/>
      <c r="T60" s="16" t="n"/>
      <c r="U60" s="16" t="n"/>
    </row>
    <row r="61">
      <c r="A61" s="37" t="n"/>
      <c r="B61" s="16" t="n">
        <v>1140</v>
      </c>
      <c r="C61" s="16" t="inlineStr">
        <is>
          <t>Maxi</t>
        </is>
      </c>
      <c r="D61" s="17" t="n">
        <v>45960</v>
      </c>
      <c r="E61" s="16" t="inlineStr">
        <is>
          <t>MONCAR</t>
        </is>
      </c>
      <c r="F61" s="16" t="inlineStr">
        <is>
          <t>CF 020</t>
        </is>
      </c>
      <c r="G61" s="18" t="n">
        <v>8</v>
      </c>
      <c r="H61" s="16" t="inlineStr">
        <is>
          <t>DEL VALLE</t>
        </is>
      </c>
      <c r="I61" s="19" t="n"/>
      <c r="J61" s="18">
        <f>IF(TRIM(F61)="","",IF(LEFT(TRIM(F61),2)="RM",IFERROR(IF(D61&gt;=DATE(2026,4,1),INDEX('LP RMH'!$F:$F,MATCH(TRIM(F61),'LP RMH'!$A:$A,0)),INDEX('LP RMH'!$E:$E,MATCH(TRIM(F61),'LP RMH'!$A:$A,0))),0),IFERROR(INDEX('LP MONCAR'!$E:$E,MATCH(TRIM(F61),'LP MONCAR'!$A:$A,0)),0)))</f>
        <v/>
      </c>
      <c r="K61" s="18" t="n">
        <v>41040</v>
      </c>
      <c r="L61" s="16" t="inlineStr">
        <is>
          <t>2025-10</t>
        </is>
      </c>
      <c r="M61" s="16" t="n"/>
      <c r="N61" s="20" t="n">
        <v>5492.3448</v>
      </c>
      <c r="O61" s="18" t="n">
        <v>35547.6552</v>
      </c>
      <c r="P61" s="16" t="inlineStr">
        <is>
          <t>BOSCH</t>
        </is>
      </c>
      <c r="Q61" s="16" t="inlineStr">
        <is>
          <t>FERRETERIA</t>
        </is>
      </c>
      <c r="R61" s="16" t="n"/>
      <c r="S61" s="16" t="n"/>
      <c r="T61" s="16" t="n"/>
      <c r="U61" s="16" t="n"/>
    </row>
    <row r="62">
      <c r="A62" s="37" t="n"/>
      <c r="B62" s="16" t="n">
        <v>1140</v>
      </c>
      <c r="C62" s="16" t="inlineStr">
        <is>
          <t>Maxi</t>
        </is>
      </c>
      <c r="D62" s="17" t="n">
        <v>45960</v>
      </c>
      <c r="E62" s="16" t="inlineStr">
        <is>
          <t>MONCAR</t>
        </is>
      </c>
      <c r="F62" s="16" t="inlineStr">
        <is>
          <t>CF 611</t>
        </is>
      </c>
      <c r="G62" s="18" t="n">
        <v>4</v>
      </c>
      <c r="H62" s="16" t="inlineStr">
        <is>
          <t>DEL VALLE</t>
        </is>
      </c>
      <c r="I62" s="19" t="n"/>
      <c r="J62" s="18">
        <f>IF(TRIM(F62)="","",IF(LEFT(TRIM(F62),2)="RM",IFERROR(IF(D62&gt;=DATE(2026,4,1),INDEX('LP RMH'!$F:$F,MATCH(TRIM(F62),'LP RMH'!$A:$A,0)),INDEX('LP RMH'!$E:$E,MATCH(TRIM(F62),'LP RMH'!$A:$A,0))),0),IFERROR(INDEX('LP MONCAR'!$E:$E,MATCH(TRIM(F62),'LP MONCAR'!$A:$A,0)),0)))</f>
        <v/>
      </c>
      <c r="K62" s="18" t="n">
        <v>15560</v>
      </c>
      <c r="L62" s="16" t="inlineStr">
        <is>
          <t>2025-10</t>
        </is>
      </c>
      <c r="M62" s="16" t="n"/>
      <c r="N62" s="20" t="n">
        <v>2029.7796</v>
      </c>
      <c r="O62" s="18" t="n">
        <v>13530.2204</v>
      </c>
      <c r="P62" s="16" t="inlineStr">
        <is>
          <t>BOSCH</t>
        </is>
      </c>
      <c r="Q62" s="16" t="inlineStr">
        <is>
          <t>FERRETERIA</t>
        </is>
      </c>
      <c r="R62" s="16" t="n"/>
      <c r="S62" s="16" t="n"/>
      <c r="T62" s="16" t="n"/>
      <c r="U62" s="16" t="n"/>
    </row>
    <row r="63">
      <c r="A63" s="37" t="n"/>
      <c r="B63" s="16" t="n">
        <v>1140</v>
      </c>
      <c r="C63" s="16" t="inlineStr">
        <is>
          <t>Maxi</t>
        </is>
      </c>
      <c r="D63" s="17" t="n">
        <v>45960</v>
      </c>
      <c r="E63" s="16" t="inlineStr">
        <is>
          <t>MONCAR</t>
        </is>
      </c>
      <c r="F63" s="16" t="inlineStr">
        <is>
          <t>CF 751</t>
        </is>
      </c>
      <c r="G63" s="18" t="n">
        <v>4</v>
      </c>
      <c r="H63" s="16" t="inlineStr">
        <is>
          <t>DEL VALLE</t>
        </is>
      </c>
      <c r="I63" s="19" t="n"/>
      <c r="J63" s="18">
        <f>IF(TRIM(F63)="","",IF(LEFT(TRIM(F63),2)="RM",IFERROR(IF(D63&gt;=DATE(2026,4,1),INDEX('LP RMH'!$F:$F,MATCH(TRIM(F63),'LP RMH'!$A:$A,0)),INDEX('LP RMH'!$E:$E,MATCH(TRIM(F63),'LP RMH'!$A:$A,0))),0),IFERROR(INDEX('LP MONCAR'!$E:$E,MATCH(TRIM(F63),'LP MONCAR'!$A:$A,0)),0)))</f>
        <v/>
      </c>
      <c r="K63" s="18" t="n">
        <v>10120</v>
      </c>
      <c r="L63" s="16" t="inlineStr">
        <is>
          <t>2025-10</t>
        </is>
      </c>
      <c r="M63" s="16" t="n"/>
      <c r="N63" s="20" t="n">
        <v>1313.3868</v>
      </c>
      <c r="O63" s="18" t="n">
        <v>8806.6132</v>
      </c>
      <c r="P63" s="16" t="inlineStr">
        <is>
          <t>DOWEN PAGGIO</t>
        </is>
      </c>
      <c r="Q63" s="16" t="inlineStr">
        <is>
          <t>FERRETERIA</t>
        </is>
      </c>
      <c r="R63" s="16" t="n"/>
      <c r="S63" s="16" t="n"/>
      <c r="T63" s="16" t="n"/>
      <c r="U63" s="16" t="n"/>
    </row>
    <row r="64">
      <c r="A64" s="37" t="n"/>
      <c r="B64" s="16" t="n">
        <v>1140</v>
      </c>
      <c r="C64" s="16" t="inlineStr">
        <is>
          <t>Maxi</t>
        </is>
      </c>
      <c r="D64" s="17" t="n">
        <v>45960</v>
      </c>
      <c r="E64" s="16" t="inlineStr">
        <is>
          <t>MONCAR</t>
        </is>
      </c>
      <c r="F64" s="16" t="inlineStr">
        <is>
          <t>CF 183</t>
        </is>
      </c>
      <c r="G64" s="18" t="n">
        <v>5</v>
      </c>
      <c r="H64" s="16" t="inlineStr">
        <is>
          <t>DEL VALLE</t>
        </is>
      </c>
      <c r="I64" s="19" t="n"/>
      <c r="J64" s="18">
        <f>IF(TRIM(F64)="","",IF(LEFT(TRIM(F64),2)="RM",IFERROR(IF(D64&gt;=DATE(2026,4,1),INDEX('LP RMH'!$F:$F,MATCH(TRIM(F64),'LP RMH'!$A:$A,0)),INDEX('LP RMH'!$E:$E,MATCH(TRIM(F64),'LP RMH'!$A:$A,0))),0),IFERROR(INDEX('LP MONCAR'!$E:$E,MATCH(TRIM(F64),'LP MONCAR'!$A:$A,0)),0)))</f>
        <v/>
      </c>
      <c r="K64" s="18" t="n">
        <v>26500</v>
      </c>
      <c r="L64" s="16" t="inlineStr">
        <is>
          <t>2025-10</t>
        </is>
      </c>
      <c r="M64" s="16" t="n"/>
      <c r="N64" s="20" t="n">
        <v>3432.7155</v>
      </c>
      <c r="O64" s="18" t="n">
        <v>23067.2845</v>
      </c>
      <c r="P64" s="16" t="inlineStr">
        <is>
          <t>DE WALT</t>
        </is>
      </c>
      <c r="Q64" s="16" t="inlineStr">
        <is>
          <t>FERRETERIA</t>
        </is>
      </c>
      <c r="R64" s="16" t="n"/>
      <c r="S64" s="16" t="n"/>
      <c r="T64" s="16" t="n"/>
      <c r="U64" s="16" t="n"/>
    </row>
    <row r="65">
      <c r="A65" s="37" t="n"/>
      <c r="B65" s="16" t="n">
        <v>1140</v>
      </c>
      <c r="C65" s="16" t="inlineStr">
        <is>
          <t>Maxi</t>
        </is>
      </c>
      <c r="D65" s="17" t="n">
        <v>45960</v>
      </c>
      <c r="E65" s="16" t="inlineStr">
        <is>
          <t>MONCAR</t>
        </is>
      </c>
      <c r="F65" s="16" t="inlineStr">
        <is>
          <t>CF 056</t>
        </is>
      </c>
      <c r="G65" s="18" t="n">
        <v>6</v>
      </c>
      <c r="H65" s="16" t="inlineStr">
        <is>
          <t>DEL VALLE</t>
        </is>
      </c>
      <c r="I65" s="19" t="n"/>
      <c r="J65" s="18">
        <f>IF(TRIM(F65)="","",IF(LEFT(TRIM(F65),2)="RM",IFERROR(IF(D65&gt;=DATE(2026,4,1),INDEX('LP RMH'!$F:$F,MATCH(TRIM(F65),'LP RMH'!$A:$A,0)),INDEX('LP RMH'!$E:$E,MATCH(TRIM(F65),'LP RMH'!$A:$A,0))),0),IFERROR(INDEX('LP MONCAR'!$E:$E,MATCH(TRIM(F65),'LP MONCAR'!$A:$A,0)),0)))</f>
        <v/>
      </c>
      <c r="K65" s="18" t="n">
        <v>31020</v>
      </c>
      <c r="L65" s="16" t="inlineStr">
        <is>
          <t>2025-10</t>
        </is>
      </c>
      <c r="M65" s="16" t="n"/>
      <c r="N65" s="20" t="n">
        <v>4119.2586</v>
      </c>
      <c r="O65" s="18" t="n">
        <v>26900.7414</v>
      </c>
      <c r="P65" s="16" t="inlineStr">
        <is>
          <t>MAKITA</t>
        </is>
      </c>
      <c r="Q65" s="16" t="inlineStr">
        <is>
          <t>FERRETERIA</t>
        </is>
      </c>
      <c r="R65" s="16" t="n"/>
      <c r="S65" s="16" t="n"/>
      <c r="T65" s="16" t="n"/>
      <c r="U65" s="16" t="n"/>
    </row>
    <row r="66">
      <c r="A66" s="37" t="n"/>
      <c r="B66" s="16" t="n">
        <v>1140</v>
      </c>
      <c r="C66" s="16" t="inlineStr">
        <is>
          <t>Maxi</t>
        </is>
      </c>
      <c r="D66" s="17" t="n">
        <v>45960</v>
      </c>
      <c r="E66" s="16" t="inlineStr">
        <is>
          <t>MONCAR</t>
        </is>
      </c>
      <c r="F66" s="16" t="inlineStr">
        <is>
          <t>CF 500</t>
        </is>
      </c>
      <c r="G66" s="18" t="n">
        <v>4</v>
      </c>
      <c r="H66" s="16" t="inlineStr">
        <is>
          <t>DEL VALLE</t>
        </is>
      </c>
      <c r="I66" s="19" t="n"/>
      <c r="J66" s="18">
        <f>IF(TRIM(F66)="","",IF(LEFT(TRIM(F66),2)="RM",IFERROR(IF(D66&gt;=DATE(2026,4,1),INDEX('LP RMH'!$F:$F,MATCH(TRIM(F66),'LP RMH'!$A:$A,0)),INDEX('LP RMH'!$E:$E,MATCH(TRIM(F66),'LP RMH'!$A:$A,0))),0),IFERROR(INDEX('LP MONCAR'!$E:$E,MATCH(TRIM(F66),'LP MONCAR'!$A:$A,0)),0)))</f>
        <v/>
      </c>
      <c r="K66" s="18" t="n">
        <v>8200</v>
      </c>
      <c r="L66" s="16" t="inlineStr">
        <is>
          <t>2025-10</t>
        </is>
      </c>
      <c r="M66" s="16" t="n"/>
      <c r="N66" s="20" t="n">
        <v>1074.5892</v>
      </c>
      <c r="O66" s="18" t="n">
        <v>7125.4108</v>
      </c>
      <c r="P66" s="16" t="inlineStr">
        <is>
          <t>STINGRAY</t>
        </is>
      </c>
      <c r="Q66" s="16" t="inlineStr">
        <is>
          <t>FERRETERIA</t>
        </is>
      </c>
      <c r="R66" s="16" t="n"/>
      <c r="S66" s="16" t="n"/>
      <c r="T66" s="16" t="n"/>
      <c r="U66" s="16" t="n"/>
    </row>
    <row r="67">
      <c r="A67" s="37" t="n"/>
      <c r="B67" s="16" t="n">
        <v>1173</v>
      </c>
      <c r="C67" s="16" t="inlineStr">
        <is>
          <t>Maxi</t>
        </is>
      </c>
      <c r="D67" s="17" t="n">
        <v>46035</v>
      </c>
      <c r="E67" s="16" t="inlineStr">
        <is>
          <t>MONCAR</t>
        </is>
      </c>
      <c r="F67" s="16" t="inlineStr">
        <is>
          <t>CF 021</t>
        </is>
      </c>
      <c r="G67" s="18" t="n">
        <v>2</v>
      </c>
      <c r="H67" s="16" t="inlineStr">
        <is>
          <t>FERRETERIA MAX</t>
        </is>
      </c>
      <c r="I67" s="19" t="n"/>
      <c r="J67" s="18">
        <f>IF(TRIM(F67)="","",IF(LEFT(TRIM(F67),2)="RM",IFERROR(IF(D67&gt;=DATE(2026,4,1),INDEX('LP RMH'!$F:$F,MATCH(TRIM(F67),'LP RMH'!$A:$A,0)),INDEX('LP RMH'!$E:$E,MATCH(TRIM(F67),'LP RMH'!$A:$A,0))),0),IFERROR(INDEX('LP MONCAR'!$E:$E,MATCH(TRIM(F67),'LP MONCAR'!$A:$A,0)),0)))</f>
        <v/>
      </c>
      <c r="K67" s="18" t="n">
        <v>5960</v>
      </c>
      <c r="L67" s="16" t="inlineStr">
        <is>
          <t>2026-01</t>
        </is>
      </c>
      <c r="M67" s="16" t="n"/>
      <c r="N67" s="20" t="n">
        <v>776.0922</v>
      </c>
      <c r="O67" s="18" t="n">
        <v>5183.9078</v>
      </c>
      <c r="P67" s="16" t="inlineStr">
        <is>
          <t>BOSCH</t>
        </is>
      </c>
      <c r="Q67" s="16" t="inlineStr">
        <is>
          <t>FERRETERIA</t>
        </is>
      </c>
      <c r="R67" s="16" t="inlineStr">
        <is>
          <t>CABA</t>
        </is>
      </c>
      <c r="S67" s="16" t="n"/>
      <c r="T67" s="16" t="n"/>
      <c r="U67" s="16" t="n"/>
    </row>
    <row r="68">
      <c r="A68" s="37" t="n"/>
      <c r="B68" s="16" t="n">
        <v>1173</v>
      </c>
      <c r="C68" s="16" t="inlineStr">
        <is>
          <t>Maxi</t>
        </is>
      </c>
      <c r="D68" s="17" t="n">
        <v>46035</v>
      </c>
      <c r="E68" s="16" t="inlineStr">
        <is>
          <t>MONCAR</t>
        </is>
      </c>
      <c r="F68" s="16" t="inlineStr">
        <is>
          <t>CF 189</t>
        </is>
      </c>
      <c r="G68" s="18" t="n">
        <v>3</v>
      </c>
      <c r="H68" s="16" t="inlineStr">
        <is>
          <t>FERRETERIA MAX</t>
        </is>
      </c>
      <c r="I68" s="19" t="n"/>
      <c r="J68" s="18">
        <f>IF(TRIM(F68)="","",IF(LEFT(TRIM(F68),2)="RM",IFERROR(IF(D68&gt;=DATE(2026,4,1),INDEX('LP RMH'!$F:$F,MATCH(TRIM(F68),'LP RMH'!$A:$A,0)),INDEX('LP RMH'!$E:$E,MATCH(TRIM(F68),'LP RMH'!$A:$A,0))),0),IFERROR(INDEX('LP MONCAR'!$E:$E,MATCH(TRIM(F68),'LP MONCAR'!$A:$A,0)),0)))</f>
        <v/>
      </c>
      <c r="K68" s="18" t="n">
        <v>10260</v>
      </c>
      <c r="L68" s="16" t="inlineStr">
        <is>
          <t>2026-01</t>
        </is>
      </c>
      <c r="M68" s="16" t="n"/>
      <c r="N68" s="20" t="n">
        <v>1432.7856</v>
      </c>
      <c r="O68" s="18" t="n">
        <v>8827.214400000001</v>
      </c>
      <c r="P68" s="16" t="inlineStr">
        <is>
          <t>DE WALT</t>
        </is>
      </c>
      <c r="Q68" s="16" t="inlineStr">
        <is>
          <t>FERRETERIA</t>
        </is>
      </c>
      <c r="R68" s="16" t="inlineStr">
        <is>
          <t>CABA</t>
        </is>
      </c>
      <c r="S68" s="16" t="n"/>
      <c r="T68" s="16" t="n"/>
      <c r="U68" s="16" t="n"/>
    </row>
    <row r="69">
      <c r="A69" s="37" t="n"/>
      <c r="B69" s="16" t="n">
        <v>1173</v>
      </c>
      <c r="C69" s="16" t="inlineStr">
        <is>
          <t>Maxi</t>
        </is>
      </c>
      <c r="D69" s="17" t="n">
        <v>46035</v>
      </c>
      <c r="E69" s="16" t="inlineStr">
        <is>
          <t>MONCAR</t>
        </is>
      </c>
      <c r="F69" s="16" t="inlineStr">
        <is>
          <t>CF 758</t>
        </is>
      </c>
      <c r="G69" s="18" t="n">
        <v>2</v>
      </c>
      <c r="H69" s="16" t="inlineStr">
        <is>
          <t>FERRETERIA MAX</t>
        </is>
      </c>
      <c r="I69" s="19" t="n"/>
      <c r="J69" s="18">
        <f>IF(TRIM(F69)="","",IF(LEFT(TRIM(F69),2)="RM",IFERROR(IF(D69&gt;=DATE(2026,4,1),INDEX('LP RMH'!$F:$F,MATCH(TRIM(F69),'LP RMH'!$A:$A,0)),INDEX('LP RMH'!$E:$E,MATCH(TRIM(F69),'LP RMH'!$A:$A,0))),0),IFERROR(INDEX('LP MONCAR'!$E:$E,MATCH(TRIM(F69),'LP MONCAR'!$A:$A,0)),0)))</f>
        <v/>
      </c>
      <c r="K69" s="18" t="n">
        <v>9200</v>
      </c>
      <c r="L69" s="16" t="inlineStr">
        <is>
          <t>2026-01</t>
        </is>
      </c>
      <c r="M69" s="16" t="n"/>
      <c r="N69" s="20" t="n">
        <v>1253.6874</v>
      </c>
      <c r="O69" s="18" t="n">
        <v>7946.3126</v>
      </c>
      <c r="P69" s="16" t="inlineStr">
        <is>
          <t>DOWEN PAGGIO</t>
        </is>
      </c>
      <c r="Q69" s="16" t="inlineStr">
        <is>
          <t>FERRETERIA</t>
        </is>
      </c>
      <c r="R69" s="16" t="inlineStr">
        <is>
          <t>CABA</t>
        </is>
      </c>
      <c r="S69" s="16" t="n"/>
      <c r="T69" s="16" t="n"/>
      <c r="U69" s="16" t="n"/>
    </row>
    <row r="70">
      <c r="A70" s="37" t="n"/>
      <c r="B70" s="16" t="n">
        <v>1173</v>
      </c>
      <c r="C70" s="16" t="inlineStr">
        <is>
          <t>Maxi</t>
        </is>
      </c>
      <c r="D70" s="17" t="n">
        <v>46035</v>
      </c>
      <c r="E70" s="16" t="inlineStr">
        <is>
          <t>MONCAR</t>
        </is>
      </c>
      <c r="F70" s="16" t="inlineStr">
        <is>
          <t>CF 042</t>
        </is>
      </c>
      <c r="G70" s="18" t="n">
        <v>2</v>
      </c>
      <c r="H70" s="16" t="inlineStr">
        <is>
          <t>FERRETERIA MAX</t>
        </is>
      </c>
      <c r="I70" s="19" t="n"/>
      <c r="J70" s="18">
        <f>IF(TRIM(F70)="","",IF(LEFT(TRIM(F70),2)="RM",IFERROR(IF(D70&gt;=DATE(2026,4,1),INDEX('LP RMH'!$F:$F,MATCH(TRIM(F70),'LP RMH'!$A:$A,0)),INDEX('LP RMH'!$E:$E,MATCH(TRIM(F70),'LP RMH'!$A:$A,0))),0),IFERROR(INDEX('LP MONCAR'!$E:$E,MATCH(TRIM(F70),'LP MONCAR'!$A:$A,0)),0)))</f>
        <v/>
      </c>
      <c r="K70" s="18" t="n">
        <v>10060</v>
      </c>
      <c r="L70" s="16" t="inlineStr">
        <is>
          <t>2026-01</t>
        </is>
      </c>
      <c r="M70" s="16" t="n"/>
      <c r="N70" s="20" t="n">
        <v>1313.3868</v>
      </c>
      <c r="O70" s="18" t="n">
        <v>8746.6132</v>
      </c>
      <c r="P70" s="16" t="inlineStr">
        <is>
          <t>HITACHI</t>
        </is>
      </c>
      <c r="Q70" s="16" t="inlineStr">
        <is>
          <t>FERRETERIA</t>
        </is>
      </c>
      <c r="R70" s="16" t="inlineStr">
        <is>
          <t>CABA</t>
        </is>
      </c>
      <c r="S70" s="16" t="n"/>
      <c r="T70" s="16" t="n"/>
      <c r="U70" s="16" t="n"/>
    </row>
    <row r="71">
      <c r="A71" s="37" t="n"/>
      <c r="B71" s="16" t="n">
        <v>1173</v>
      </c>
      <c r="C71" s="16" t="inlineStr">
        <is>
          <t>Maxi</t>
        </is>
      </c>
      <c r="D71" s="17" t="n">
        <v>46035</v>
      </c>
      <c r="E71" s="16" t="inlineStr">
        <is>
          <t>MONCAR</t>
        </is>
      </c>
      <c r="F71" s="16" t="inlineStr">
        <is>
          <t>CF 556</t>
        </is>
      </c>
      <c r="G71" s="18" t="n">
        <v>2</v>
      </c>
      <c r="H71" s="16" t="inlineStr">
        <is>
          <t>FERRETERIA MAX</t>
        </is>
      </c>
      <c r="I71" s="19" t="n"/>
      <c r="J71" s="18">
        <f>IF(TRIM(F71)="","",IF(LEFT(TRIM(F71),2)="RM",IFERROR(IF(D71&gt;=DATE(2026,4,1),INDEX('LP RMH'!$F:$F,MATCH(TRIM(F71),'LP RMH'!$A:$A,0)),INDEX('LP RMH'!$E:$E,MATCH(TRIM(F71),'LP RMH'!$A:$A,0))),0),IFERROR(INDEX('LP MONCAR'!$E:$E,MATCH(TRIM(F71),'LP MONCAR'!$A:$A,0)),0)))</f>
        <v/>
      </c>
      <c r="K71" s="18" t="n">
        <v>7400</v>
      </c>
      <c r="L71" s="16" t="inlineStr">
        <is>
          <t>2026-01</t>
        </is>
      </c>
      <c r="M71" s="16" t="n"/>
      <c r="N71" s="20" t="n">
        <v>955.1904000000001</v>
      </c>
      <c r="O71" s="18" t="n">
        <v>6444.8096</v>
      </c>
      <c r="P71" s="16" t="inlineStr">
        <is>
          <t>MAKITA</t>
        </is>
      </c>
      <c r="Q71" s="16" t="inlineStr">
        <is>
          <t>FERRETERIA</t>
        </is>
      </c>
      <c r="R71" s="16" t="inlineStr">
        <is>
          <t>CABA</t>
        </is>
      </c>
      <c r="S71" s="16" t="n"/>
      <c r="T71" s="16" t="n"/>
      <c r="U71" s="16" t="n"/>
    </row>
    <row r="72">
      <c r="A72" s="37" t="n"/>
      <c r="B72" s="16" t="n">
        <v>1173</v>
      </c>
      <c r="C72" s="16" t="inlineStr">
        <is>
          <t>Maxi</t>
        </is>
      </c>
      <c r="D72" s="17" t="n">
        <v>46035</v>
      </c>
      <c r="E72" s="16" t="inlineStr">
        <is>
          <t>MONCAR</t>
        </is>
      </c>
      <c r="F72" s="16" t="inlineStr">
        <is>
          <t>CF 658</t>
        </is>
      </c>
      <c r="G72" s="18" t="n">
        <v>2</v>
      </c>
      <c r="H72" s="16" t="inlineStr">
        <is>
          <t>FERRETERIA MAX</t>
        </is>
      </c>
      <c r="I72" s="19" t="n"/>
      <c r="J72" s="18">
        <f>IF(TRIM(F72)="","",IF(LEFT(TRIM(F72),2)="RM",IFERROR(IF(D72&gt;=DATE(2026,4,1),INDEX('LP RMH'!$F:$F,MATCH(TRIM(F72),'LP RMH'!$A:$A,0)),INDEX('LP RMH'!$E:$E,MATCH(TRIM(F72),'LP RMH'!$A:$A,0))),0),IFERROR(INDEX('LP MONCAR'!$E:$E,MATCH(TRIM(F72),'LP MONCAR'!$A:$A,0)),0)))</f>
        <v/>
      </c>
      <c r="K72" s="18" t="n">
        <v>5060</v>
      </c>
      <c r="L72" s="16" t="inlineStr">
        <is>
          <t>2026-01</t>
        </is>
      </c>
      <c r="M72" s="16" t="n"/>
      <c r="N72" s="20" t="n">
        <v>656.6934</v>
      </c>
      <c r="O72" s="18" t="n">
        <v>4403.3066</v>
      </c>
      <c r="P72" s="16" t="inlineStr">
        <is>
          <t>SKIL</t>
        </is>
      </c>
      <c r="Q72" s="16" t="inlineStr">
        <is>
          <t>FERRETERIA</t>
        </is>
      </c>
      <c r="R72" s="16" t="inlineStr">
        <is>
          <t>CABA</t>
        </is>
      </c>
      <c r="S72" s="16" t="n"/>
      <c r="T72" s="16" t="n"/>
      <c r="U72" s="16" t="n"/>
    </row>
    <row r="73">
      <c r="A73" s="37" t="n"/>
      <c r="B73" s="16" t="n">
        <v>1173</v>
      </c>
      <c r="C73" s="16" t="inlineStr">
        <is>
          <t>Maxi</t>
        </is>
      </c>
      <c r="D73" s="17" t="n">
        <v>46035</v>
      </c>
      <c r="E73" s="16" t="inlineStr">
        <is>
          <t>MONCAR</t>
        </is>
      </c>
      <c r="F73" s="16" t="inlineStr">
        <is>
          <t>CF 500</t>
        </is>
      </c>
      <c r="G73" s="18" t="n">
        <v>2</v>
      </c>
      <c r="H73" s="16" t="inlineStr">
        <is>
          <t>FERRETERIA MAX</t>
        </is>
      </c>
      <c r="I73" s="19" t="n"/>
      <c r="J73" s="18">
        <f>IF(TRIM(F73)="","",IF(LEFT(TRIM(F73),2)="RM",IFERROR(IF(D73&gt;=DATE(2026,4,1),INDEX('LP RMH'!$F:$F,MATCH(TRIM(F73),'LP RMH'!$A:$A,0)),INDEX('LP RMH'!$E:$E,MATCH(TRIM(F73),'LP RMH'!$A:$A,0))),0),IFERROR(INDEX('LP MONCAR'!$E:$E,MATCH(TRIM(F73),'LP MONCAR'!$A:$A,0)),0)))</f>
        <v/>
      </c>
      <c r="K73" s="18" t="n">
        <v>4100</v>
      </c>
      <c r="L73" s="16" t="inlineStr">
        <is>
          <t>2026-01</t>
        </is>
      </c>
      <c r="M73" s="16" t="n"/>
      <c r="N73" s="20" t="n">
        <v>537.2946000000001</v>
      </c>
      <c r="O73" s="18" t="n">
        <v>3562.7054</v>
      </c>
      <c r="P73" s="16" t="inlineStr">
        <is>
          <t>STINGRAY</t>
        </is>
      </c>
      <c r="Q73" s="16" t="inlineStr">
        <is>
          <t>FERRETERIA</t>
        </is>
      </c>
      <c r="R73" s="16" t="inlineStr">
        <is>
          <t>CABA</t>
        </is>
      </c>
      <c r="S73" s="16" t="n"/>
      <c r="T73" s="16" t="n"/>
      <c r="U73" s="16" t="n"/>
    </row>
    <row r="74">
      <c r="A74" s="37" t="n"/>
      <c r="B74" s="16" t="n"/>
      <c r="C74" s="16" t="inlineStr">
        <is>
          <t>Maxi</t>
        </is>
      </c>
      <c r="D74" s="17" t="n">
        <v>46065</v>
      </c>
      <c r="E74" s="16" t="inlineStr">
        <is>
          <t>MONCAR</t>
        </is>
      </c>
      <c r="F74" s="16" t="inlineStr">
        <is>
          <t>CF 604</t>
        </is>
      </c>
      <c r="G74" s="18" t="n">
        <v>4</v>
      </c>
      <c r="H74" s="16" t="inlineStr">
        <is>
          <t>BURGOS</t>
        </is>
      </c>
      <c r="I74" s="19" t="n"/>
      <c r="J74" s="18">
        <f>IF(TRIM(F74)="","",IF(LEFT(TRIM(F74),2)="RM",IFERROR(IF(D74&gt;=DATE(2026,4,1),INDEX('LP RMH'!$F:$F,MATCH(TRIM(F74),'LP RMH'!$A:$A,0)),INDEX('LP RMH'!$E:$E,MATCH(TRIM(F74),'LP RMH'!$A:$A,0))),0),IFERROR(INDEX('LP MONCAR'!$E:$E,MATCH(TRIM(F74),'LP MONCAR'!$A:$A,0)),0)))</f>
        <v/>
      </c>
      <c r="K74" s="18" t="n">
        <v>20520</v>
      </c>
      <c r="L74" s="16" t="inlineStr">
        <is>
          <t>2026-02</t>
        </is>
      </c>
      <c r="M74" s="16" t="n"/>
      <c r="N74" s="20" t="n">
        <v>2626.7736</v>
      </c>
      <c r="O74" s="18" t="n">
        <v>17893.2264</v>
      </c>
      <c r="P74" s="16" t="inlineStr">
        <is>
          <t>BLACK Y DECKER</t>
        </is>
      </c>
      <c r="Q74" s="16" t="inlineStr">
        <is>
          <t>FERRETERIA</t>
        </is>
      </c>
      <c r="R74" s="16" t="n"/>
      <c r="S74" s="16" t="n"/>
      <c r="T74" s="16" t="n"/>
      <c r="U74" s="16" t="n"/>
    </row>
    <row r="75">
      <c r="A75" s="37" t="n"/>
      <c r="B75" s="16" t="n"/>
      <c r="C75" s="16" t="inlineStr">
        <is>
          <t>Maxi</t>
        </is>
      </c>
      <c r="D75" s="17" t="n">
        <v>46065</v>
      </c>
      <c r="E75" s="16" t="inlineStr">
        <is>
          <t>MONCAR</t>
        </is>
      </c>
      <c r="F75" s="16" t="inlineStr">
        <is>
          <t>CF 020</t>
        </is>
      </c>
      <c r="G75" s="18" t="n">
        <v>15</v>
      </c>
      <c r="H75" s="16" t="inlineStr">
        <is>
          <t>BURGOS</t>
        </is>
      </c>
      <c r="I75" s="19" t="n"/>
      <c r="J75" s="18">
        <f>IF(TRIM(F75)="","",IF(LEFT(TRIM(F75),2)="RM",IFERROR(IF(D75&gt;=DATE(2026,4,1),INDEX('LP RMH'!$F:$F,MATCH(TRIM(F75),'LP RMH'!$A:$A,0)),INDEX('LP RMH'!$E:$E,MATCH(TRIM(F75),'LP RMH'!$A:$A,0))),0),IFERROR(INDEX('LP MONCAR'!$E:$E,MATCH(TRIM(F75),'LP MONCAR'!$A:$A,0)),0)))</f>
        <v/>
      </c>
      <c r="K75" s="18" t="n">
        <v>76950</v>
      </c>
      <c r="L75" s="16" t="inlineStr">
        <is>
          <t>2026-02</t>
        </is>
      </c>
      <c r="M75" s="16" t="n"/>
      <c r="N75" s="20" t="n">
        <v>10298.1465</v>
      </c>
      <c r="O75" s="18" t="n">
        <v>66651.8535</v>
      </c>
      <c r="P75" s="16" t="inlineStr">
        <is>
          <t>BOSCH</t>
        </is>
      </c>
      <c r="Q75" s="16" t="inlineStr">
        <is>
          <t>FERRETERIA</t>
        </is>
      </c>
      <c r="R75" s="16" t="n"/>
      <c r="S75" s="16" t="n"/>
      <c r="T75" s="16" t="n"/>
      <c r="U75" s="16" t="n"/>
    </row>
    <row r="76">
      <c r="A76" s="37" t="n"/>
      <c r="B76" s="16" t="n"/>
      <c r="C76" s="16" t="inlineStr">
        <is>
          <t>Maxi</t>
        </is>
      </c>
      <c r="D76" s="17" t="n">
        <v>46065</v>
      </c>
      <c r="E76" s="16" t="inlineStr">
        <is>
          <t>MONCAR</t>
        </is>
      </c>
      <c r="F76" s="16" t="inlineStr">
        <is>
          <t>CF 181</t>
        </is>
      </c>
      <c r="G76" s="18" t="n">
        <v>4</v>
      </c>
      <c r="H76" s="16" t="inlineStr">
        <is>
          <t>BURGOS</t>
        </is>
      </c>
      <c r="I76" s="19" t="n"/>
      <c r="J76" s="18">
        <f>IF(TRIM(F76)="","",IF(LEFT(TRIM(F76),2)="RM",IFERROR(IF(D76&gt;=DATE(2026,4,1),INDEX('LP RMH'!$F:$F,MATCH(TRIM(F76),'LP RMH'!$A:$A,0)),INDEX('LP RMH'!$E:$E,MATCH(TRIM(F76),'LP RMH'!$A:$A,0))),0),IFERROR(INDEX('LP MONCAR'!$E:$E,MATCH(TRIM(F76),'LP MONCAR'!$A:$A,0)),0)))</f>
        <v/>
      </c>
      <c r="K76" s="18" t="n">
        <v>14200</v>
      </c>
      <c r="L76" s="16" t="inlineStr">
        <is>
          <t>2026-02</t>
        </is>
      </c>
      <c r="M76" s="16" t="n"/>
      <c r="N76" s="20" t="n">
        <v>1910.3808</v>
      </c>
      <c r="O76" s="18" t="n">
        <v>12289.6192</v>
      </c>
      <c r="P76" s="16" t="inlineStr">
        <is>
          <t>DE WALT</t>
        </is>
      </c>
      <c r="Q76" s="16" t="inlineStr">
        <is>
          <t>FERRETERIA</t>
        </is>
      </c>
      <c r="R76" s="16" t="n"/>
      <c r="S76" s="16" t="n"/>
      <c r="T76" s="16" t="n"/>
      <c r="U76" s="16" t="n"/>
    </row>
    <row r="77">
      <c r="A77" s="37" t="n"/>
      <c r="B77" s="16" t="n"/>
      <c r="C77" s="16" t="inlineStr">
        <is>
          <t>Maxi</t>
        </is>
      </c>
      <c r="D77" s="17" t="n">
        <v>46065</v>
      </c>
      <c r="E77" s="16" t="inlineStr">
        <is>
          <t>MONCAR</t>
        </is>
      </c>
      <c r="F77" s="16" t="inlineStr">
        <is>
          <t>CF 183</t>
        </is>
      </c>
      <c r="G77" s="18" t="n">
        <v>5</v>
      </c>
      <c r="H77" s="16" t="inlineStr">
        <is>
          <t>BURGOS</t>
        </is>
      </c>
      <c r="I77" s="19" t="n"/>
      <c r="J77" s="18">
        <f>IF(TRIM(F77)="","",IF(LEFT(TRIM(F77),2)="RM",IFERROR(IF(D77&gt;=DATE(2026,4,1),INDEX('LP RMH'!$F:$F,MATCH(TRIM(F77),'LP RMH'!$A:$A,0)),INDEX('LP RMH'!$E:$E,MATCH(TRIM(F77),'LP RMH'!$A:$A,0))),0),IFERROR(INDEX('LP MONCAR'!$E:$E,MATCH(TRIM(F77),'LP MONCAR'!$A:$A,0)),0)))</f>
        <v/>
      </c>
      <c r="K77" s="18" t="n">
        <v>26500</v>
      </c>
      <c r="L77" s="16" t="inlineStr">
        <is>
          <t>2026-02</t>
        </is>
      </c>
      <c r="M77" s="16" t="n"/>
      <c r="N77" s="20" t="n">
        <v>3432.7155</v>
      </c>
      <c r="O77" s="18" t="n">
        <v>23067.2845</v>
      </c>
      <c r="P77" s="16" t="inlineStr">
        <is>
          <t>DE WALT</t>
        </is>
      </c>
      <c r="Q77" s="16" t="inlineStr">
        <is>
          <t>FERRETERIA</t>
        </is>
      </c>
      <c r="R77" s="16" t="n"/>
      <c r="S77" s="16" t="n"/>
      <c r="T77" s="16" t="n"/>
      <c r="U77" s="16" t="n"/>
    </row>
    <row r="78">
      <c r="A78" s="37" t="n"/>
      <c r="B78" s="16" t="n"/>
      <c r="C78" s="16" t="inlineStr">
        <is>
          <t>Maxi</t>
        </is>
      </c>
      <c r="D78" s="17" t="n">
        <v>46065</v>
      </c>
      <c r="E78" s="16" t="inlineStr">
        <is>
          <t>MONCAR</t>
        </is>
      </c>
      <c r="F78" s="16" t="inlineStr">
        <is>
          <t>CF 189</t>
        </is>
      </c>
      <c r="G78" s="18" t="n">
        <v>4</v>
      </c>
      <c r="H78" s="16" t="inlineStr">
        <is>
          <t>BURGOS</t>
        </is>
      </c>
      <c r="I78" s="19" t="n"/>
      <c r="J78" s="18">
        <f>IF(TRIM(F78)="","",IF(LEFT(TRIM(F78),2)="RM",IFERROR(IF(D78&gt;=DATE(2026,4,1),INDEX('LP RMH'!$F:$F,MATCH(TRIM(F78),'LP RMH'!$A:$A,0)),INDEX('LP RMH'!$E:$E,MATCH(TRIM(F78),'LP RMH'!$A:$A,0))),0),IFERROR(INDEX('LP MONCAR'!$E:$E,MATCH(TRIM(F78),'LP MONCAR'!$A:$A,0)),0)))</f>
        <v/>
      </c>
      <c r="K78" s="18" t="n">
        <v>13680</v>
      </c>
      <c r="L78" s="16" t="inlineStr">
        <is>
          <t>2026-02</t>
        </is>
      </c>
      <c r="M78" s="16" t="n"/>
      <c r="N78" s="20" t="n">
        <v>1910.3808</v>
      </c>
      <c r="O78" s="18" t="n">
        <v>11769.6192</v>
      </c>
      <c r="P78" s="16" t="inlineStr">
        <is>
          <t>DE WALT</t>
        </is>
      </c>
      <c r="Q78" s="16" t="inlineStr">
        <is>
          <t>FERRETERIA</t>
        </is>
      </c>
      <c r="R78" s="16" t="n"/>
      <c r="S78" s="16" t="n"/>
      <c r="T78" s="16" t="n"/>
      <c r="U78" s="16" t="n"/>
    </row>
    <row r="79">
      <c r="A79" s="37" t="n"/>
      <c r="B79" s="16" t="n"/>
      <c r="C79" s="16" t="inlineStr">
        <is>
          <t>Maxi</t>
        </is>
      </c>
      <c r="D79" s="17" t="n">
        <v>46065</v>
      </c>
      <c r="E79" s="16" t="inlineStr">
        <is>
          <t>MONCAR</t>
        </is>
      </c>
      <c r="F79" s="16" t="inlineStr">
        <is>
          <t>CF 711</t>
        </is>
      </c>
      <c r="G79" s="18" t="n">
        <v>4</v>
      </c>
      <c r="H79" s="16" t="inlineStr">
        <is>
          <t>BURGOS</t>
        </is>
      </c>
      <c r="I79" s="19" t="n"/>
      <c r="J79" s="18">
        <f>IF(TRIM(F79)="","",IF(LEFT(TRIM(F79),2)="RM",IFERROR(IF(D79&gt;=DATE(2026,4,1),INDEX('LP RMH'!$F:$F,MATCH(TRIM(F79),'LP RMH'!$A:$A,0)),INDEX('LP RMH'!$E:$E,MATCH(TRIM(F79),'LP RMH'!$A:$A,0))),0),IFERROR(INDEX('LP MONCAR'!$E:$E,MATCH(TRIM(F79),'LP MONCAR'!$A:$A,0)),0)))</f>
        <v/>
      </c>
      <c r="K79" s="18" t="n">
        <v>12240</v>
      </c>
      <c r="L79" s="16" t="inlineStr">
        <is>
          <t>2026-02</t>
        </is>
      </c>
      <c r="M79" s="16" t="n"/>
      <c r="N79" s="20" t="n">
        <v>2029.7796</v>
      </c>
      <c r="O79" s="18" t="n">
        <v>10210.2204</v>
      </c>
      <c r="P79" s="16" t="inlineStr">
        <is>
          <t>GAMMA</t>
        </is>
      </c>
      <c r="Q79" s="16" t="inlineStr">
        <is>
          <t>FERRETERIA</t>
        </is>
      </c>
      <c r="R79" s="16" t="n"/>
      <c r="S79" s="16" t="n"/>
      <c r="T79" s="16" t="n"/>
      <c r="U79" s="16" t="n"/>
    </row>
    <row r="80">
      <c r="A80" s="37" t="n"/>
      <c r="B80" s="16" t="n"/>
      <c r="C80" s="16" t="inlineStr">
        <is>
          <t>Maxi</t>
        </is>
      </c>
      <c r="D80" s="17" t="n">
        <v>46065</v>
      </c>
      <c r="E80" s="16" t="inlineStr">
        <is>
          <t>MONCAR</t>
        </is>
      </c>
      <c r="F80" s="16" t="inlineStr">
        <is>
          <t>CF 712</t>
        </is>
      </c>
      <c r="G80" s="18" t="n">
        <v>10</v>
      </c>
      <c r="H80" s="16" t="inlineStr">
        <is>
          <t>BURGOS</t>
        </is>
      </c>
      <c r="I80" s="19" t="n"/>
      <c r="J80" s="18">
        <f>IF(TRIM(F80)="","",IF(LEFT(TRIM(F80),2)="RM",IFERROR(IF(D80&gt;=DATE(2026,4,1),INDEX('LP RMH'!$F:$F,MATCH(TRIM(F80),'LP RMH'!$A:$A,0)),INDEX('LP RMH'!$E:$E,MATCH(TRIM(F80),'LP RMH'!$A:$A,0))),0),IFERROR(INDEX('LP MONCAR'!$E:$E,MATCH(TRIM(F80),'LP MONCAR'!$A:$A,0)),0)))</f>
        <v/>
      </c>
      <c r="K80" s="18" t="n">
        <v>35100</v>
      </c>
      <c r="L80" s="16" t="inlineStr">
        <is>
          <t>2026-02</t>
        </is>
      </c>
      <c r="M80" s="16" t="n"/>
      <c r="N80" s="20" t="n"/>
      <c r="O80" s="18" t="n"/>
      <c r="P80" s="16" t="inlineStr">
        <is>
          <t>GAMMA</t>
        </is>
      </c>
      <c r="Q80" s="16" t="inlineStr">
        <is>
          <t>FERRETERIA</t>
        </is>
      </c>
      <c r="R80" s="16" t="n"/>
      <c r="S80" s="16" t="n"/>
      <c r="T80" s="16" t="n"/>
      <c r="U80" s="16" t="n"/>
    </row>
    <row r="81">
      <c r="A81" s="37" t="n"/>
      <c r="B81" s="16" t="n"/>
      <c r="C81" s="16" t="inlineStr">
        <is>
          <t>Maxi</t>
        </is>
      </c>
      <c r="D81" s="17" t="n">
        <v>46065</v>
      </c>
      <c r="E81" s="16" t="inlineStr">
        <is>
          <t>MONCAR</t>
        </is>
      </c>
      <c r="F81" s="16" t="inlineStr">
        <is>
          <t>CF 056</t>
        </is>
      </c>
      <c r="G81" s="18" t="n">
        <v>6</v>
      </c>
      <c r="H81" s="16" t="inlineStr">
        <is>
          <t>BURGOS</t>
        </is>
      </c>
      <c r="I81" s="19" t="n"/>
      <c r="J81" s="18">
        <f>IF(TRIM(F81)="","",IF(LEFT(TRIM(F81),2)="RM",IFERROR(IF(D81&gt;=DATE(2026,4,1),INDEX('LP RMH'!$F:$F,MATCH(TRIM(F81),'LP RMH'!$A:$A,0)),INDEX('LP RMH'!$E:$E,MATCH(TRIM(F81),'LP RMH'!$A:$A,0))),0),IFERROR(INDEX('LP MONCAR'!$E:$E,MATCH(TRIM(F81),'LP MONCAR'!$A:$A,0)),0)))</f>
        <v/>
      </c>
      <c r="K81" s="18" t="n">
        <v>31020</v>
      </c>
      <c r="L81" s="16" t="inlineStr">
        <is>
          <t>2026-02</t>
        </is>
      </c>
      <c r="M81" s="16" t="n"/>
      <c r="N81" s="20" t="n">
        <v>4119.2586</v>
      </c>
      <c r="O81" s="18" t="n">
        <v>26900.7414</v>
      </c>
      <c r="P81" s="16" t="inlineStr">
        <is>
          <t>MAKITA</t>
        </is>
      </c>
      <c r="Q81" s="16" t="inlineStr">
        <is>
          <t>FERRETERIA</t>
        </is>
      </c>
      <c r="R81" s="16" t="n"/>
      <c r="S81" s="16" t="n"/>
      <c r="T81" s="16" t="n"/>
      <c r="U81" s="16" t="n"/>
    </row>
    <row r="82">
      <c r="A82" s="37" t="n"/>
      <c r="B82" s="16" t="n"/>
      <c r="C82" s="16" t="inlineStr">
        <is>
          <t>Maxi</t>
        </is>
      </c>
      <c r="D82" s="17" t="n">
        <v>46065</v>
      </c>
      <c r="E82" s="16" t="inlineStr">
        <is>
          <t>MONCAR</t>
        </is>
      </c>
      <c r="F82" s="16" t="inlineStr">
        <is>
          <t>CF 650</t>
        </is>
      </c>
      <c r="G82" s="18" t="n">
        <v>3</v>
      </c>
      <c r="H82" s="16" t="inlineStr">
        <is>
          <t>BURGOS</t>
        </is>
      </c>
      <c r="I82" s="19" t="n"/>
      <c r="J82" s="18">
        <f>IF(TRIM(F82)="","",IF(LEFT(TRIM(F82),2)="RM",IFERROR(IF(D82&gt;=DATE(2026,4,1),INDEX('LP RMH'!$F:$F,MATCH(TRIM(F82),'LP RMH'!$A:$A,0)),INDEX('LP RMH'!$E:$E,MATCH(TRIM(F82),'LP RMH'!$A:$A,0))),0),IFERROR(INDEX('LP MONCAR'!$E:$E,MATCH(TRIM(F82),'LP MONCAR'!$A:$A,0)),0)))</f>
        <v/>
      </c>
      <c r="K82" s="18" t="n">
        <v>14640</v>
      </c>
      <c r="L82" s="16" t="inlineStr">
        <is>
          <t>2026-02</t>
        </is>
      </c>
      <c r="M82" s="16" t="n"/>
      <c r="N82" s="20" t="n"/>
      <c r="O82" s="18" t="n"/>
      <c r="P82" s="16" t="inlineStr">
        <is>
          <t>SKIL</t>
        </is>
      </c>
      <c r="Q82" s="16" t="inlineStr">
        <is>
          <t>FERRETERIA</t>
        </is>
      </c>
      <c r="R82" s="16" t="n"/>
      <c r="S82" s="16" t="n"/>
      <c r="T82" s="16" t="n"/>
      <c r="U82" s="16" t="n"/>
    </row>
    <row r="83">
      <c r="A83" s="37" t="n"/>
      <c r="B83" s="16" t="n"/>
      <c r="C83" s="16" t="inlineStr">
        <is>
          <t>Maxi</t>
        </is>
      </c>
      <c r="D83" s="17" t="n">
        <v>46065</v>
      </c>
      <c r="E83" s="16" t="inlineStr">
        <is>
          <t>MONCAR</t>
        </is>
      </c>
      <c r="F83" s="16" t="inlineStr">
        <is>
          <t>CF 657</t>
        </is>
      </c>
      <c r="G83" s="18" t="n">
        <v>6</v>
      </c>
      <c r="H83" s="16" t="inlineStr">
        <is>
          <t>BURGOS</t>
        </is>
      </c>
      <c r="I83" s="19" t="n"/>
      <c r="J83" s="18">
        <f>IF(TRIM(F83)="","",IF(LEFT(TRIM(F83),2)="RM",IFERROR(IF(D83&gt;=DATE(2026,4,1),INDEX('LP RMH'!$F:$F,MATCH(TRIM(F83),'LP RMH'!$A:$A,0)),INDEX('LP RMH'!$E:$E,MATCH(TRIM(F83),'LP RMH'!$A:$A,0))),0),IFERROR(INDEX('LP MONCAR'!$E:$E,MATCH(TRIM(F83),'LP MONCAR'!$A:$A,0)),0)))</f>
        <v/>
      </c>
      <c r="K83" s="18" t="n">
        <v>30180</v>
      </c>
      <c r="L83" s="16" t="inlineStr">
        <is>
          <t>2026-02</t>
        </is>
      </c>
      <c r="M83" s="16" t="n"/>
      <c r="N83" s="20" t="n">
        <v>3940.1604</v>
      </c>
      <c r="O83" s="18" t="n">
        <v>26239.8396</v>
      </c>
      <c r="P83" s="16" t="inlineStr">
        <is>
          <t>SKIL</t>
        </is>
      </c>
      <c r="Q83" s="16" t="inlineStr">
        <is>
          <t>FERRETERIA</t>
        </is>
      </c>
      <c r="R83" s="16" t="n"/>
      <c r="S83" s="16" t="n"/>
      <c r="T83" s="16" t="n"/>
      <c r="U83" s="16" t="n"/>
    </row>
    <row r="84">
      <c r="A84" s="37" t="n"/>
      <c r="B84" s="16" t="n"/>
      <c r="C84" s="16" t="inlineStr">
        <is>
          <t>Maxi</t>
        </is>
      </c>
      <c r="D84" s="17" t="n">
        <v>46065</v>
      </c>
      <c r="E84" s="16" t="inlineStr">
        <is>
          <t>MONCAR</t>
        </is>
      </c>
      <c r="F84" s="16" t="inlineStr">
        <is>
          <t>CE 309</t>
        </is>
      </c>
      <c r="G84" s="18" t="n">
        <v>3</v>
      </c>
      <c r="H84" s="16" t="inlineStr">
        <is>
          <t>BURGOS</t>
        </is>
      </c>
      <c r="I84" s="19" t="n"/>
      <c r="J84" s="18">
        <f>IF(TRIM(F84)="","",IF(LEFT(TRIM(F84),2)="RM",IFERROR(IF(D84&gt;=DATE(2026,4,1),INDEX('LP RMH'!$F:$F,MATCH(TRIM(F84),'LP RMH'!$A:$A,0)),INDEX('LP RMH'!$E:$E,MATCH(TRIM(F84),'LP RMH'!$A:$A,0))),0),IFERROR(INDEX('LP MONCAR'!$E:$E,MATCH(TRIM(F84),'LP MONCAR'!$A:$A,0)),0)))</f>
        <v/>
      </c>
      <c r="K84" s="18" t="n">
        <v>16680</v>
      </c>
      <c r="L84" s="16" t="inlineStr">
        <is>
          <t>2026-02</t>
        </is>
      </c>
      <c r="M84" s="16" t="n"/>
      <c r="N84" s="20" t="n"/>
      <c r="O84" s="18" t="n"/>
      <c r="P84" s="16" t="inlineStr">
        <is>
          <t>HIDROLAVADORA</t>
        </is>
      </c>
      <c r="Q84" s="16" t="inlineStr">
        <is>
          <t>FERRETERIA</t>
        </is>
      </c>
      <c r="R84" s="16" t="n"/>
      <c r="S84" s="16" t="n"/>
      <c r="T84" s="16" t="n"/>
      <c r="U84" s="16" t="n"/>
    </row>
    <row r="85">
      <c r="A85" s="37" t="n"/>
      <c r="B85" s="16" t="n">
        <v>1172</v>
      </c>
      <c r="C85" s="16" t="inlineStr">
        <is>
          <t>Maxi</t>
        </is>
      </c>
      <c r="D85" s="17" t="n">
        <v>46065</v>
      </c>
      <c r="E85" s="16" t="inlineStr">
        <is>
          <t>MONCAR</t>
        </is>
      </c>
      <c r="F85" s="16" t="inlineStr">
        <is>
          <t>CF 664</t>
        </is>
      </c>
      <c r="G85" s="18" t="n">
        <v>10</v>
      </c>
      <c r="H85" s="16" t="inlineStr">
        <is>
          <t>AYL MAQUINAS</t>
        </is>
      </c>
      <c r="I85" s="19" t="n"/>
      <c r="J85" s="18">
        <f>IF(TRIM(F85)="","",IF(LEFT(TRIM(F85),2)="RM",IFERROR(IF(D85&gt;=DATE(2026,4,1),INDEX('LP RMH'!$F:$F,MATCH(TRIM(F85),'LP RMH'!$A:$A,0)),INDEX('LP RMH'!$E:$E,MATCH(TRIM(F85),'LP RMH'!$A:$A,0))),0),IFERROR(INDEX('LP MONCAR'!$E:$E,MATCH(TRIM(F85),'LP MONCAR'!$A:$A,0)),0)))</f>
        <v/>
      </c>
      <c r="K85" s="18" t="n">
        <v>48300</v>
      </c>
      <c r="L85" s="16" t="inlineStr">
        <is>
          <t>2026-02</t>
        </is>
      </c>
      <c r="M85" s="16" t="n"/>
      <c r="N85" s="20" t="n">
        <v>6566.934</v>
      </c>
      <c r="O85" s="18" t="n">
        <v>41733.066</v>
      </c>
      <c r="P85" s="16" t="inlineStr">
        <is>
          <t>BLACK Y DECKER</t>
        </is>
      </c>
      <c r="Q85" s="16" t="inlineStr">
        <is>
          <t>FERRETERIA</t>
        </is>
      </c>
      <c r="R85" s="16" t="n"/>
      <c r="S85" s="16" t="n"/>
      <c r="T85" s="16" t="n"/>
      <c r="U85" s="16" t="n"/>
    </row>
    <row r="86">
      <c r="A86" s="37" t="n"/>
      <c r="B86" s="16" t="n">
        <v>1172</v>
      </c>
      <c r="C86" s="16" t="inlineStr">
        <is>
          <t>Maxi</t>
        </is>
      </c>
      <c r="D86" s="17" t="n">
        <v>46065</v>
      </c>
      <c r="E86" s="16" t="inlineStr">
        <is>
          <t>MONCAR</t>
        </is>
      </c>
      <c r="F86" s="16" t="inlineStr">
        <is>
          <t>CF 665</t>
        </is>
      </c>
      <c r="G86" s="18" t="n">
        <v>30</v>
      </c>
      <c r="H86" s="16" t="inlineStr">
        <is>
          <t>AYL MAQUINAS</t>
        </is>
      </c>
      <c r="I86" s="19" t="n"/>
      <c r="J86" s="18">
        <f>IF(TRIM(F86)="","",IF(LEFT(TRIM(F86),2)="RM",IFERROR(IF(D86&gt;=DATE(2026,4,1),INDEX('LP RMH'!$F:$F,MATCH(TRIM(F86),'LP RMH'!$A:$A,0)),INDEX('LP RMH'!$E:$E,MATCH(TRIM(F86),'LP RMH'!$A:$A,0))),0),IFERROR(INDEX('LP MONCAR'!$E:$E,MATCH(TRIM(F86),'LP MONCAR'!$A:$A,0)),0)))</f>
        <v/>
      </c>
      <c r="K86" s="18" t="n">
        <v>69000</v>
      </c>
      <c r="L86" s="16" t="inlineStr">
        <is>
          <t>2026-02</t>
        </is>
      </c>
      <c r="M86" s="16" t="n"/>
      <c r="N86" s="20" t="n">
        <v>8954.91</v>
      </c>
      <c r="O86" s="18" t="n">
        <v>60045.09</v>
      </c>
      <c r="P86" s="16" t="inlineStr">
        <is>
          <t>BLACK Y DECKER</t>
        </is>
      </c>
      <c r="Q86" s="16" t="inlineStr">
        <is>
          <t>FERRETERIA</t>
        </is>
      </c>
      <c r="R86" s="16" t="n"/>
      <c r="S86" s="16" t="n"/>
      <c r="T86" s="16" t="n"/>
      <c r="U86" s="16" t="n"/>
    </row>
    <row r="87">
      <c r="A87" s="37" t="n"/>
      <c r="B87" s="16" t="n">
        <v>1172</v>
      </c>
      <c r="C87" s="16" t="inlineStr">
        <is>
          <t>Maxi</t>
        </is>
      </c>
      <c r="D87" s="17" t="n">
        <v>46065</v>
      </c>
      <c r="E87" s="16" t="inlineStr">
        <is>
          <t>MONCAR</t>
        </is>
      </c>
      <c r="F87" s="16" t="inlineStr">
        <is>
          <t>CF 674</t>
        </is>
      </c>
      <c r="G87" s="18" t="n">
        <v>50</v>
      </c>
      <c r="H87" s="16" t="inlineStr">
        <is>
          <t>AYL MAQUINAS</t>
        </is>
      </c>
      <c r="I87" s="19" t="n"/>
      <c r="J87" s="18">
        <f>IF(TRIM(F87)="","",IF(LEFT(TRIM(F87),2)="RM",IFERROR(IF(D87&gt;=DATE(2026,4,1),INDEX('LP RMH'!$F:$F,MATCH(TRIM(F87),'LP RMH'!$A:$A,0)),INDEX('LP RMH'!$E:$E,MATCH(TRIM(F87),'LP RMH'!$A:$A,0))),0),IFERROR(INDEX('LP MONCAR'!$E:$E,MATCH(TRIM(F87),'LP MONCAR'!$A:$A,0)),0)))</f>
        <v/>
      </c>
      <c r="K87" s="18" t="n">
        <v>115000</v>
      </c>
      <c r="L87" s="16" t="inlineStr">
        <is>
          <t>2026-02</t>
        </is>
      </c>
      <c r="M87" s="16" t="n"/>
      <c r="N87" s="20" t="n">
        <v>14924.85</v>
      </c>
      <c r="O87" s="18" t="n">
        <v>100075.15</v>
      </c>
      <c r="P87" s="16" t="inlineStr">
        <is>
          <t>BLACK Y DECKER</t>
        </is>
      </c>
      <c r="Q87" s="16" t="inlineStr">
        <is>
          <t>FERRETERIA</t>
        </is>
      </c>
      <c r="R87" s="16" t="n"/>
      <c r="S87" s="16" t="n"/>
      <c r="T87" s="16" t="n"/>
      <c r="U87" s="16" t="n"/>
    </row>
    <row r="88">
      <c r="A88" s="37" t="n"/>
      <c r="B88" s="16" t="n">
        <v>1172</v>
      </c>
      <c r="C88" s="16" t="inlineStr">
        <is>
          <t>Maxi</t>
        </is>
      </c>
      <c r="D88" s="17" t="n">
        <v>46065</v>
      </c>
      <c r="E88" s="16" t="inlineStr">
        <is>
          <t>MONCAR</t>
        </is>
      </c>
      <c r="F88" s="16" t="inlineStr">
        <is>
          <t>CF 019</t>
        </is>
      </c>
      <c r="G88" s="18" t="n">
        <v>15</v>
      </c>
      <c r="H88" s="16" t="inlineStr">
        <is>
          <t>AYL MAQUINAS</t>
        </is>
      </c>
      <c r="I88" s="19" t="n"/>
      <c r="J88" s="18">
        <f>IF(TRIM(F88)="","",IF(LEFT(TRIM(F88),2)="RM",IFERROR(IF(D88&gt;=DATE(2026,4,1),INDEX('LP RMH'!$F:$F,MATCH(TRIM(F88),'LP RMH'!$A:$A,0)),INDEX('LP RMH'!$E:$E,MATCH(TRIM(F88),'LP RMH'!$A:$A,0))),0),IFERROR(INDEX('LP MONCAR'!$E:$E,MATCH(TRIM(F88),'LP MONCAR'!$A:$A,0)),0)))</f>
        <v/>
      </c>
      <c r="K88" s="18" t="n">
        <v>48300</v>
      </c>
      <c r="L88" s="16" t="inlineStr">
        <is>
          <t>2026-02</t>
        </is>
      </c>
      <c r="M88" s="16" t="n"/>
      <c r="N88" s="20" t="n">
        <v>6716.1825</v>
      </c>
      <c r="O88" s="18" t="n">
        <v>41583.8175</v>
      </c>
      <c r="P88" s="16" t="inlineStr">
        <is>
          <t>BOSCH</t>
        </is>
      </c>
      <c r="Q88" s="16" t="inlineStr">
        <is>
          <t>FERRETERIA</t>
        </is>
      </c>
      <c r="R88" s="16" t="n"/>
      <c r="S88" s="16" t="n"/>
      <c r="T88" s="16" t="n"/>
      <c r="U88" s="16" t="n"/>
    </row>
    <row r="89">
      <c r="A89" s="37" t="n"/>
      <c r="B89" s="16" t="n">
        <v>1172</v>
      </c>
      <c r="C89" s="16" t="inlineStr">
        <is>
          <t>Maxi</t>
        </is>
      </c>
      <c r="D89" s="17" t="n">
        <v>46065</v>
      </c>
      <c r="E89" s="16" t="inlineStr">
        <is>
          <t>MONCAR</t>
        </is>
      </c>
      <c r="F89" s="16" t="inlineStr">
        <is>
          <t>CF 020</t>
        </is>
      </c>
      <c r="G89" s="18" t="n">
        <v>25</v>
      </c>
      <c r="H89" s="16" t="inlineStr">
        <is>
          <t>AYL MAQUINAS</t>
        </is>
      </c>
      <c r="I89" s="19" t="n"/>
      <c r="J89" s="18">
        <f>IF(TRIM(F89)="","",IF(LEFT(TRIM(F89),2)="RM",IFERROR(IF(D89&gt;=DATE(2026,4,1),INDEX('LP RMH'!$F:$F,MATCH(TRIM(F89),'LP RMH'!$A:$A,0)),INDEX('LP RMH'!$E:$E,MATCH(TRIM(F89),'LP RMH'!$A:$A,0))),0),IFERROR(INDEX('LP MONCAR'!$E:$E,MATCH(TRIM(F89),'LP MONCAR'!$A:$A,0)),0)))</f>
        <v/>
      </c>
      <c r="K89" s="18" t="n">
        <v>128250</v>
      </c>
      <c r="L89" s="16" t="inlineStr">
        <is>
          <t>2026-02</t>
        </is>
      </c>
      <c r="M89" s="16" t="n"/>
      <c r="N89" s="20" t="n">
        <v>17163.5775</v>
      </c>
      <c r="O89" s="18" t="n">
        <v>111086.4225</v>
      </c>
      <c r="P89" s="16" t="inlineStr">
        <is>
          <t>BOSCH</t>
        </is>
      </c>
      <c r="Q89" s="16" t="inlineStr">
        <is>
          <t>FERRETERIA</t>
        </is>
      </c>
      <c r="R89" s="16" t="n"/>
      <c r="S89" s="16" t="n"/>
      <c r="T89" s="16" t="n"/>
      <c r="U89" s="16" t="n"/>
    </row>
    <row r="90">
      <c r="A90" s="37" t="n"/>
      <c r="B90" s="16" t="n">
        <v>1172</v>
      </c>
      <c r="C90" s="16" t="inlineStr">
        <is>
          <t>Maxi</t>
        </is>
      </c>
      <c r="D90" s="17" t="n">
        <v>46065</v>
      </c>
      <c r="E90" s="16" t="inlineStr">
        <is>
          <t>MONCAR</t>
        </is>
      </c>
      <c r="F90" s="16" t="inlineStr">
        <is>
          <t>CF 611</t>
        </is>
      </c>
      <c r="G90" s="18" t="n">
        <v>5</v>
      </c>
      <c r="H90" s="16" t="inlineStr">
        <is>
          <t>AYL MAQUINAS</t>
        </is>
      </c>
      <c r="I90" s="19" t="n"/>
      <c r="J90" s="18">
        <f>IF(TRIM(F90)="","",IF(LEFT(TRIM(F90),2)="RM",IFERROR(IF(D90&gt;=DATE(2026,4,1),INDEX('LP RMH'!$F:$F,MATCH(TRIM(F90),'LP RMH'!$A:$A,0)),INDEX('LP RMH'!$E:$E,MATCH(TRIM(F90),'LP RMH'!$A:$A,0))),0),IFERROR(INDEX('LP MONCAR'!$E:$E,MATCH(TRIM(F90),'LP MONCAR'!$A:$A,0)),0)))</f>
        <v/>
      </c>
      <c r="K90" s="18" t="n">
        <v>19450</v>
      </c>
      <c r="L90" s="16" t="inlineStr">
        <is>
          <t>2026-02</t>
        </is>
      </c>
      <c r="M90" s="16" t="n"/>
      <c r="N90" s="20" t="n">
        <v>2537.2245</v>
      </c>
      <c r="O90" s="18" t="n">
        <v>16912.7755</v>
      </c>
      <c r="P90" s="16" t="inlineStr">
        <is>
          <t>BOSCH</t>
        </is>
      </c>
      <c r="Q90" s="16" t="inlineStr">
        <is>
          <t>FERRETERIA</t>
        </is>
      </c>
      <c r="R90" s="16" t="n"/>
      <c r="S90" s="16" t="n"/>
      <c r="T90" s="16" t="n"/>
      <c r="U90" s="16" t="n"/>
    </row>
    <row r="91">
      <c r="A91" s="37" t="n"/>
      <c r="B91" s="16" t="n">
        <v>1172</v>
      </c>
      <c r="C91" s="16" t="inlineStr">
        <is>
          <t>Maxi</t>
        </is>
      </c>
      <c r="D91" s="17" t="n">
        <v>46065</v>
      </c>
      <c r="E91" s="16" t="inlineStr">
        <is>
          <t>MONCAR</t>
        </is>
      </c>
      <c r="F91" s="16" t="inlineStr">
        <is>
          <t>CF 180</t>
        </is>
      </c>
      <c r="G91" s="18" t="n">
        <v>5</v>
      </c>
      <c r="H91" s="16" t="inlineStr">
        <is>
          <t>AYL MAQUINAS</t>
        </is>
      </c>
      <c r="I91" s="19" t="n"/>
      <c r="J91" s="18">
        <f>IF(TRIM(F91)="","",IF(LEFT(TRIM(F91),2)="RM",IFERROR(IF(D91&gt;=DATE(2026,4,1),INDEX('LP RMH'!$F:$F,MATCH(TRIM(F91),'LP RMH'!$A:$A,0)),INDEX('LP RMH'!$E:$E,MATCH(TRIM(F91),'LP RMH'!$A:$A,0))),0),IFERROR(INDEX('LP MONCAR'!$E:$E,MATCH(TRIM(F91),'LP MONCAR'!$A:$A,0)),0)))</f>
        <v/>
      </c>
      <c r="K91" s="18" t="n">
        <v>20700</v>
      </c>
      <c r="L91" s="16" t="inlineStr">
        <is>
          <t>2026-02</t>
        </is>
      </c>
      <c r="M91" s="16" t="n"/>
      <c r="N91" s="20" t="n">
        <v>2686.473</v>
      </c>
      <c r="O91" s="18" t="n">
        <v>18013.527</v>
      </c>
      <c r="P91" s="16" t="inlineStr">
        <is>
          <t>DE WALT</t>
        </is>
      </c>
      <c r="Q91" s="16" t="inlineStr">
        <is>
          <t>FERRETERIA</t>
        </is>
      </c>
      <c r="R91" s="16" t="n"/>
      <c r="S91" s="16" t="n"/>
      <c r="T91" s="16" t="n"/>
      <c r="U91" s="16" t="n"/>
    </row>
    <row r="92">
      <c r="A92" s="37" t="n"/>
      <c r="B92" s="16" t="n">
        <v>1172</v>
      </c>
      <c r="C92" s="16" t="inlineStr">
        <is>
          <t>Maxi</t>
        </is>
      </c>
      <c r="D92" s="17" t="n">
        <v>46065</v>
      </c>
      <c r="E92" s="16" t="inlineStr">
        <is>
          <t>MONCAR</t>
        </is>
      </c>
      <c r="F92" s="16" t="inlineStr">
        <is>
          <t>CF 552</t>
        </is>
      </c>
      <c r="G92" s="18" t="n">
        <v>7</v>
      </c>
      <c r="H92" s="16" t="inlineStr">
        <is>
          <t>AYL MAQUINAS</t>
        </is>
      </c>
      <c r="I92" s="19" t="n"/>
      <c r="J92" s="18">
        <f>IF(TRIM(F92)="","",IF(LEFT(TRIM(F92),2)="RM",IFERROR(IF(D92&gt;=DATE(2026,4,1),INDEX('LP RMH'!$F:$F,MATCH(TRIM(F92),'LP RMH'!$A:$A,0)),INDEX('LP RMH'!$E:$E,MATCH(TRIM(F92),'LP RMH'!$A:$A,0))),0),IFERROR(INDEX('LP MONCAR'!$E:$E,MATCH(TRIM(F92),'LP MONCAR'!$A:$A,0)),0)))</f>
        <v/>
      </c>
      <c r="K92" s="18" t="n">
        <v>19390</v>
      </c>
      <c r="L92" s="16" t="inlineStr">
        <is>
          <t>2026-02</t>
        </is>
      </c>
      <c r="M92" s="16" t="n"/>
      <c r="N92" s="20" t="n">
        <v>2716.3227</v>
      </c>
      <c r="O92" s="18" t="n">
        <v>16673.6773</v>
      </c>
      <c r="P92" s="16" t="inlineStr">
        <is>
          <t>MAKITA</t>
        </is>
      </c>
      <c r="Q92" s="16" t="inlineStr">
        <is>
          <t>FERRETERIA</t>
        </is>
      </c>
      <c r="R92" s="16" t="n"/>
      <c r="S92" s="16" t="n"/>
      <c r="T92" s="16" t="n"/>
      <c r="U92" s="16" t="n"/>
    </row>
    <row r="93">
      <c r="A93" s="37" t="n"/>
      <c r="B93" s="16" t="n">
        <v>1172</v>
      </c>
      <c r="C93" s="16" t="inlineStr">
        <is>
          <t>Maxi</t>
        </is>
      </c>
      <c r="D93" s="17" t="n">
        <v>46065</v>
      </c>
      <c r="E93" s="16" t="inlineStr">
        <is>
          <t>MONCAR</t>
        </is>
      </c>
      <c r="F93" s="16" t="inlineStr">
        <is>
          <t>CF 970</t>
        </is>
      </c>
      <c r="G93" s="18" t="n">
        <v>15</v>
      </c>
      <c r="H93" s="16" t="inlineStr">
        <is>
          <t>AYL MAQUINAS</t>
        </is>
      </c>
      <c r="I93" s="19" t="n"/>
      <c r="J93" s="18">
        <f>IF(TRIM(F93)="","",IF(LEFT(TRIM(F93),2)="RM",IFERROR(IF(D93&gt;=DATE(2026,4,1),INDEX('LP RMH'!$F:$F,MATCH(TRIM(F93),'LP RMH'!$A:$A,0)),INDEX('LP RMH'!$E:$E,MATCH(TRIM(F93),'LP RMH'!$A:$A,0))),0),IFERROR(INDEX('LP MONCAR'!$E:$E,MATCH(TRIM(F93),'LP MONCAR'!$A:$A,0)),0)))</f>
        <v/>
      </c>
      <c r="K93" s="18" t="n">
        <v>46500</v>
      </c>
      <c r="L93" s="16" t="inlineStr">
        <is>
          <t>2026-02</t>
        </is>
      </c>
      <c r="M93" s="16" t="n"/>
      <c r="N93" s="20" t="n"/>
      <c r="O93" s="18" t="n"/>
      <c r="P93" s="16" t="inlineStr">
        <is>
          <t>MILWAUKEE</t>
        </is>
      </c>
      <c r="Q93" s="16" t="inlineStr">
        <is>
          <t>FERRETERIA</t>
        </is>
      </c>
      <c r="R93" s="16" t="n"/>
      <c r="S93" s="16" t="n"/>
      <c r="T93" s="16" t="n"/>
      <c r="U93" s="16" t="n"/>
    </row>
    <row r="94">
      <c r="A94" s="37" t="n"/>
      <c r="B94" s="16" t="n">
        <v>1214</v>
      </c>
      <c r="C94" s="16" t="inlineStr">
        <is>
          <t>Maxi</t>
        </is>
      </c>
      <c r="D94" s="17" t="n">
        <v>46076</v>
      </c>
      <c r="E94" s="16" t="inlineStr">
        <is>
          <t>MONCAR</t>
        </is>
      </c>
      <c r="F94" s="16" t="inlineStr">
        <is>
          <t>CF 665</t>
        </is>
      </c>
      <c r="G94" s="18" t="n">
        <v>4</v>
      </c>
      <c r="H94" s="16" t="inlineStr">
        <is>
          <t>MAQTOOLS</t>
        </is>
      </c>
      <c r="I94" s="19" t="n"/>
      <c r="J94" s="18">
        <f>IF(TRIM(F94)="","",IF(LEFT(TRIM(F94),2)="RM",IFERROR(IF(D94&gt;=DATE(2026,4,1),INDEX('LP RMH'!$F:$F,MATCH(TRIM(F94),'LP RMH'!$A:$A,0)),INDEX('LP RMH'!$E:$E,MATCH(TRIM(F94),'LP RMH'!$A:$A,0))),0),IFERROR(INDEX('LP MONCAR'!$E:$E,MATCH(TRIM(F94),'LP MONCAR'!$A:$A,0)),0)))</f>
        <v/>
      </c>
      <c r="K94" s="18" t="n">
        <v>9200</v>
      </c>
      <c r="L94" s="16" t="inlineStr">
        <is>
          <t>2026-02</t>
        </is>
      </c>
      <c r="M94" s="16" t="n"/>
      <c r="N94" s="20" t="n">
        <v>1193.988</v>
      </c>
      <c r="O94" s="18" t="n">
        <v>8006.012</v>
      </c>
      <c r="P94" s="16" t="inlineStr">
        <is>
          <t>BLACK Y DECKER</t>
        </is>
      </c>
      <c r="Q94" s="16" t="inlineStr">
        <is>
          <t>FERRETERIA</t>
        </is>
      </c>
      <c r="R94" s="16" t="n"/>
      <c r="S94" s="16" t="n"/>
      <c r="T94" s="16" t="n"/>
      <c r="U94" s="16" t="n"/>
    </row>
    <row r="95">
      <c r="A95" s="37" t="n"/>
      <c r="B95" s="16" t="n">
        <v>1214</v>
      </c>
      <c r="C95" s="16" t="inlineStr">
        <is>
          <t>Maxi</t>
        </is>
      </c>
      <c r="D95" s="17" t="n">
        <v>46076</v>
      </c>
      <c r="E95" s="16" t="inlineStr">
        <is>
          <t>MONCAR</t>
        </is>
      </c>
      <c r="F95" s="16" t="inlineStr">
        <is>
          <t>CF 020</t>
        </is>
      </c>
      <c r="G95" s="18" t="n">
        <v>2</v>
      </c>
      <c r="H95" s="16" t="inlineStr">
        <is>
          <t>MAQTOOLS</t>
        </is>
      </c>
      <c r="I95" s="19" t="n"/>
      <c r="J95" s="18">
        <f>IF(TRIM(F95)="","",IF(LEFT(TRIM(F95),2)="RM",IFERROR(IF(D95&gt;=DATE(2026,4,1),INDEX('LP RMH'!$F:$F,MATCH(TRIM(F95),'LP RMH'!$A:$A,0)),INDEX('LP RMH'!$E:$E,MATCH(TRIM(F95),'LP RMH'!$A:$A,0))),0),IFERROR(INDEX('LP MONCAR'!$E:$E,MATCH(TRIM(F95),'LP MONCAR'!$A:$A,0)),0)))</f>
        <v/>
      </c>
      <c r="K95" s="18" t="n">
        <v>10260</v>
      </c>
      <c r="L95" s="16" t="inlineStr">
        <is>
          <t>2026-02</t>
        </is>
      </c>
      <c r="M95" s="16" t="n"/>
      <c r="N95" s="20" t="n">
        <v>1373.0862</v>
      </c>
      <c r="O95" s="18" t="n">
        <v>8886.9138</v>
      </c>
      <c r="P95" s="16" t="inlineStr">
        <is>
          <t>BOSCH</t>
        </is>
      </c>
      <c r="Q95" s="16" t="inlineStr">
        <is>
          <t>FERRETERIA</t>
        </is>
      </c>
      <c r="R95" s="16" t="n"/>
      <c r="S95" s="16" t="n"/>
      <c r="T95" s="16" t="n"/>
      <c r="U95" s="16" t="n"/>
    </row>
    <row r="96">
      <c r="A96" s="37" t="n"/>
      <c r="B96" s="16" t="n">
        <v>1214</v>
      </c>
      <c r="C96" s="16" t="inlineStr">
        <is>
          <t>Maxi</t>
        </is>
      </c>
      <c r="D96" s="17" t="n">
        <v>46076</v>
      </c>
      <c r="E96" s="16" t="inlineStr">
        <is>
          <t>MONCAR</t>
        </is>
      </c>
      <c r="F96" s="16" t="inlineStr">
        <is>
          <t>CF 611</t>
        </is>
      </c>
      <c r="G96" s="18" t="n">
        <v>2</v>
      </c>
      <c r="H96" s="16" t="inlineStr">
        <is>
          <t>MAQTOOLS</t>
        </is>
      </c>
      <c r="I96" s="19" t="n"/>
      <c r="J96" s="18">
        <f>IF(TRIM(F96)="","",IF(LEFT(TRIM(F96),2)="RM",IFERROR(IF(D96&gt;=DATE(2026,4,1),INDEX('LP RMH'!$F:$F,MATCH(TRIM(F96),'LP RMH'!$A:$A,0)),INDEX('LP RMH'!$E:$E,MATCH(TRIM(F96),'LP RMH'!$A:$A,0))),0),IFERROR(INDEX('LP MONCAR'!$E:$E,MATCH(TRIM(F96),'LP MONCAR'!$A:$A,0)),0)))</f>
        <v/>
      </c>
      <c r="K96" s="18" t="n">
        <v>7780</v>
      </c>
      <c r="L96" s="16" t="inlineStr">
        <is>
          <t>2026-02</t>
        </is>
      </c>
      <c r="M96" s="16" t="n"/>
      <c r="N96" s="20" t="n">
        <v>1014.8898</v>
      </c>
      <c r="O96" s="18" t="n">
        <v>6765.1102</v>
      </c>
      <c r="P96" s="16" t="inlineStr">
        <is>
          <t>BOSCH</t>
        </is>
      </c>
      <c r="Q96" s="16" t="inlineStr">
        <is>
          <t>FERRETERIA</t>
        </is>
      </c>
      <c r="R96" s="16" t="n"/>
      <c r="S96" s="16" t="n"/>
      <c r="T96" s="16" t="n"/>
      <c r="U96" s="16" t="n"/>
    </row>
    <row r="97">
      <c r="A97" s="37" t="n"/>
      <c r="B97" s="16" t="n">
        <v>1214</v>
      </c>
      <c r="C97" s="16" t="inlineStr">
        <is>
          <t>Maxi</t>
        </is>
      </c>
      <c r="D97" s="17" t="n">
        <v>46076</v>
      </c>
      <c r="E97" s="16" t="inlineStr">
        <is>
          <t>MONCAR</t>
        </is>
      </c>
      <c r="F97" s="16" t="inlineStr">
        <is>
          <t>CF 183</t>
        </is>
      </c>
      <c r="G97" s="18" t="n">
        <v>1</v>
      </c>
      <c r="H97" s="16" t="inlineStr">
        <is>
          <t>MAQTOOLS</t>
        </is>
      </c>
      <c r="I97" s="19" t="n"/>
      <c r="J97" s="18">
        <f>IF(TRIM(F97)="","",IF(LEFT(TRIM(F97),2)="RM",IFERROR(IF(D97&gt;=DATE(2026,4,1),INDEX('LP RMH'!$F:$F,MATCH(TRIM(F97),'LP RMH'!$A:$A,0)),INDEX('LP RMH'!$E:$E,MATCH(TRIM(F97),'LP RMH'!$A:$A,0))),0),IFERROR(INDEX('LP MONCAR'!$E:$E,MATCH(TRIM(F97),'LP MONCAR'!$A:$A,0)),0)))</f>
        <v/>
      </c>
      <c r="K97" s="18" t="n">
        <v>5300</v>
      </c>
      <c r="L97" s="16" t="inlineStr">
        <is>
          <t>2026-02</t>
        </is>
      </c>
      <c r="M97" s="16" t="n"/>
      <c r="N97" s="20" t="n">
        <v>686.5431</v>
      </c>
      <c r="O97" s="18" t="n">
        <v>4613.4569</v>
      </c>
      <c r="P97" s="16" t="inlineStr">
        <is>
          <t>DE WALT</t>
        </is>
      </c>
      <c r="Q97" s="16" t="inlineStr">
        <is>
          <t>FERRETERIA</t>
        </is>
      </c>
      <c r="R97" s="16" t="n"/>
      <c r="S97" s="16" t="n"/>
      <c r="T97" s="16" t="n"/>
      <c r="U97" s="16" t="n"/>
    </row>
    <row r="98">
      <c r="A98" s="37" t="n"/>
      <c r="B98" s="16" t="n">
        <v>3953</v>
      </c>
      <c r="C98" s="16" t="inlineStr">
        <is>
          <t>Maxi</t>
        </is>
      </c>
      <c r="D98" s="17" t="n">
        <v>46076</v>
      </c>
      <c r="E98" s="16" t="inlineStr">
        <is>
          <t>MONCAR</t>
        </is>
      </c>
      <c r="F98" s="16" t="inlineStr">
        <is>
          <t>CF 014</t>
        </is>
      </c>
      <c r="G98" s="18" t="n">
        <v>5</v>
      </c>
      <c r="H98" s="16" t="inlineStr">
        <is>
          <t>AYL MAQUINAS</t>
        </is>
      </c>
      <c r="I98" s="19" t="n"/>
      <c r="J98" s="18">
        <f>IF(TRIM(F98)="","",IF(LEFT(TRIM(F98),2)="RM",IFERROR(IF(D98&gt;=DATE(2026,4,1),INDEX('LP RMH'!$F:$F,MATCH(TRIM(F98),'LP RMH'!$A:$A,0)),INDEX('LP RMH'!$E:$E,MATCH(TRIM(F98),'LP RMH'!$A:$A,0))),0),IFERROR(INDEX('LP MONCAR'!$E:$E,MATCH(TRIM(F98),'LP MONCAR'!$A:$A,0)),0)))</f>
        <v/>
      </c>
      <c r="K98" s="18" t="n">
        <v>25000</v>
      </c>
      <c r="L98" s="16" t="inlineStr">
        <is>
          <t>2026-02</t>
        </is>
      </c>
      <c r="M98" s="16" t="inlineStr">
        <is>
          <t>TABLERO SANTIAGO</t>
        </is>
      </c>
      <c r="N98" s="20" t="n">
        <v>3432.7155</v>
      </c>
      <c r="O98" s="18" t="n">
        <v>21567.2845</v>
      </c>
      <c r="P98" s="16" t="inlineStr">
        <is>
          <t>BLACK Y DECKER</t>
        </is>
      </c>
      <c r="Q98" s="16" t="inlineStr">
        <is>
          <t>FERRETERIA</t>
        </is>
      </c>
      <c r="R98" s="16" t="n"/>
      <c r="S98" s="16" t="n"/>
      <c r="T98" s="16" t="n"/>
      <c r="U98" s="16" t="n"/>
    </row>
    <row r="99">
      <c r="A99" s="37" t="n"/>
      <c r="B99" s="16" t="n">
        <v>3953</v>
      </c>
      <c r="C99" s="16" t="inlineStr">
        <is>
          <t>Maxi</t>
        </is>
      </c>
      <c r="D99" s="17" t="n">
        <v>46076</v>
      </c>
      <c r="E99" s="16" t="inlineStr">
        <is>
          <t>MONCAR</t>
        </is>
      </c>
      <c r="F99" s="16" t="inlineStr">
        <is>
          <t>CF 557</t>
        </is>
      </c>
      <c r="G99" s="18" t="n">
        <v>5</v>
      </c>
      <c r="H99" s="16" t="inlineStr">
        <is>
          <t>AYL MAQUINAS</t>
        </is>
      </c>
      <c r="I99" s="19" t="n"/>
      <c r="J99" s="18">
        <f>IF(TRIM(F99)="","",IF(LEFT(TRIM(F99),2)="RM",IFERROR(IF(D99&gt;=DATE(2026,4,1),INDEX('LP RMH'!$F:$F,MATCH(TRIM(F99),'LP RMH'!$A:$A,0)),INDEX('LP RMH'!$E:$E,MATCH(TRIM(F99),'LP RMH'!$A:$A,0))),0),IFERROR(INDEX('LP MONCAR'!$E:$E,MATCH(TRIM(F99),'LP MONCAR'!$A:$A,0)),0)))</f>
        <v/>
      </c>
      <c r="K99" s="18" t="n">
        <v>11500</v>
      </c>
      <c r="L99" s="16" t="inlineStr">
        <is>
          <t>2026-02</t>
        </is>
      </c>
      <c r="M99" s="16" t="n"/>
      <c r="N99" s="20" t="n">
        <v>1492.485</v>
      </c>
      <c r="O99" s="18" t="n">
        <v>10007.515</v>
      </c>
      <c r="P99" s="16" t="inlineStr">
        <is>
          <t>BLACK Y DECKER</t>
        </is>
      </c>
      <c r="Q99" s="16" t="inlineStr">
        <is>
          <t>FERRETERIA</t>
        </is>
      </c>
      <c r="R99" s="16" t="n"/>
      <c r="S99" s="16" t="n"/>
      <c r="T99" s="16" t="n"/>
      <c r="U99" s="16" t="n"/>
    </row>
    <row r="100">
      <c r="A100" s="37" t="n"/>
      <c r="B100" s="16" t="n">
        <v>3953</v>
      </c>
      <c r="C100" s="16" t="inlineStr">
        <is>
          <t>Maxi</t>
        </is>
      </c>
      <c r="D100" s="17" t="n">
        <v>46076</v>
      </c>
      <c r="E100" s="16" t="inlineStr">
        <is>
          <t>MONCAR</t>
        </is>
      </c>
      <c r="F100" s="16" t="inlineStr">
        <is>
          <t>CF 666</t>
        </is>
      </c>
      <c r="G100" s="18" t="n">
        <v>5</v>
      </c>
      <c r="H100" s="16" t="inlineStr">
        <is>
          <t>AYL MAQUINAS</t>
        </is>
      </c>
      <c r="I100" s="19" t="n"/>
      <c r="J100" s="18">
        <f>IF(TRIM(F100)="","",IF(LEFT(TRIM(F100),2)="RM",IFERROR(IF(D100&gt;=DATE(2026,4,1),INDEX('LP RMH'!$F:$F,MATCH(TRIM(F100),'LP RMH'!$A:$A,0)),INDEX('LP RMH'!$E:$E,MATCH(TRIM(F100),'LP RMH'!$A:$A,0))),0),IFERROR(INDEX('LP MONCAR'!$E:$E,MATCH(TRIM(F100),'LP MONCAR'!$A:$A,0)),0)))</f>
        <v/>
      </c>
      <c r="K100" s="18" t="n">
        <v>11500</v>
      </c>
      <c r="L100" s="16" t="inlineStr">
        <is>
          <t>2026-02</t>
        </is>
      </c>
      <c r="M100" s="16" t="n"/>
      <c r="N100" s="20" t="n">
        <v>1492.485</v>
      </c>
      <c r="O100" s="18" t="n">
        <v>10007.515</v>
      </c>
      <c r="P100" s="16" t="inlineStr">
        <is>
          <t>BLACK Y DECKER</t>
        </is>
      </c>
      <c r="Q100" s="16" t="inlineStr">
        <is>
          <t>FERRETERIA</t>
        </is>
      </c>
      <c r="R100" s="16" t="n"/>
      <c r="S100" s="16" t="n"/>
      <c r="T100" s="16" t="n"/>
      <c r="U100" s="16" t="n"/>
    </row>
    <row r="101">
      <c r="A101" s="37" t="n"/>
      <c r="B101" s="16" t="n">
        <v>3953</v>
      </c>
      <c r="C101" s="16" t="inlineStr">
        <is>
          <t>Maxi</t>
        </is>
      </c>
      <c r="D101" s="17" t="n">
        <v>46076</v>
      </c>
      <c r="E101" s="16" t="inlineStr">
        <is>
          <t>MONCAR</t>
        </is>
      </c>
      <c r="F101" s="16" t="inlineStr">
        <is>
          <t>CF 672</t>
        </is>
      </c>
      <c r="G101" s="18" t="n">
        <v>5</v>
      </c>
      <c r="H101" s="16" t="inlineStr">
        <is>
          <t>AYL MAQUINAS</t>
        </is>
      </c>
      <c r="I101" s="19" t="n"/>
      <c r="J101" s="18">
        <f>IF(TRIM(F101)="","",IF(LEFT(TRIM(F101),2)="RM",IFERROR(IF(D101&gt;=DATE(2026,4,1),INDEX('LP RMH'!$F:$F,MATCH(TRIM(F101),'LP RMH'!$A:$A,0)),INDEX('LP RMH'!$E:$E,MATCH(TRIM(F101),'LP RMH'!$A:$A,0))),0),IFERROR(INDEX('LP MONCAR'!$E:$E,MATCH(TRIM(F101),'LP MONCAR'!$A:$A,0)),0)))</f>
        <v/>
      </c>
      <c r="K101" s="18" t="n">
        <v>13850</v>
      </c>
      <c r="L101" s="16" t="inlineStr">
        <is>
          <t>2026-02</t>
        </is>
      </c>
      <c r="M101" s="16" t="n"/>
      <c r="N101" s="20" t="n">
        <v>1790.982</v>
      </c>
      <c r="O101" s="18" t="n">
        <v>12059.018</v>
      </c>
      <c r="P101" s="16" t="inlineStr">
        <is>
          <t>BLACK Y DECKER</t>
        </is>
      </c>
      <c r="Q101" s="16" t="inlineStr">
        <is>
          <t>FERRETERIA</t>
        </is>
      </c>
      <c r="R101" s="16" t="n"/>
      <c r="S101" s="16" t="n"/>
      <c r="T101" s="16" t="n"/>
      <c r="U101" s="16" t="n"/>
    </row>
    <row r="102">
      <c r="A102" s="37" t="n"/>
      <c r="B102" s="16" t="n">
        <v>3953</v>
      </c>
      <c r="C102" s="16" t="inlineStr">
        <is>
          <t>Maxi</t>
        </is>
      </c>
      <c r="D102" s="17" t="n">
        <v>46076</v>
      </c>
      <c r="E102" s="16" t="inlineStr">
        <is>
          <t>MONCAR</t>
        </is>
      </c>
      <c r="F102" s="16" t="inlineStr">
        <is>
          <t>CF 675</t>
        </is>
      </c>
      <c r="G102" s="18" t="n">
        <v>5</v>
      </c>
      <c r="H102" s="16" t="inlineStr">
        <is>
          <t>AYL MAQUINAS</t>
        </is>
      </c>
      <c r="I102" s="19" t="n"/>
      <c r="J102" s="18">
        <f>IF(TRIM(F102)="","",IF(LEFT(TRIM(F102),2)="RM",IFERROR(IF(D102&gt;=DATE(2026,4,1),INDEX('LP RMH'!$F:$F,MATCH(TRIM(F102),'LP RMH'!$A:$A,0)),INDEX('LP RMH'!$E:$E,MATCH(TRIM(F102),'LP RMH'!$A:$A,0))),0),IFERROR(INDEX('LP MONCAR'!$E:$E,MATCH(TRIM(F102),'LP MONCAR'!$A:$A,0)),0)))</f>
        <v/>
      </c>
      <c r="K102" s="18" t="n">
        <v>17100</v>
      </c>
      <c r="L102" s="16" t="inlineStr">
        <is>
          <t>2026-02</t>
        </is>
      </c>
      <c r="M102" s="16" t="n"/>
      <c r="N102" s="20" t="n">
        <v>2238.7275</v>
      </c>
      <c r="O102" s="18" t="n">
        <v>14861.2725</v>
      </c>
      <c r="P102" s="16" t="inlineStr">
        <is>
          <t>BLACK Y DECKER</t>
        </is>
      </c>
      <c r="Q102" s="16" t="inlineStr">
        <is>
          <t>FERRETERIA</t>
        </is>
      </c>
      <c r="R102" s="16" t="n"/>
      <c r="S102" s="16" t="n"/>
      <c r="T102" s="16" t="n"/>
      <c r="U102" s="16" t="n"/>
    </row>
    <row r="103">
      <c r="A103" s="37" t="n"/>
      <c r="B103" s="16" t="n">
        <v>3953</v>
      </c>
      <c r="C103" s="16" t="inlineStr">
        <is>
          <t>Maxi</t>
        </is>
      </c>
      <c r="D103" s="17" t="n">
        <v>46076</v>
      </c>
      <c r="E103" s="16" t="inlineStr">
        <is>
          <t>MONCAR</t>
        </is>
      </c>
      <c r="F103" s="16" t="inlineStr">
        <is>
          <t>CF 917</t>
        </is>
      </c>
      <c r="G103" s="18" t="n">
        <v>5</v>
      </c>
      <c r="H103" s="16" t="inlineStr">
        <is>
          <t>AYL MAQUINAS</t>
        </is>
      </c>
      <c r="I103" s="19" t="n"/>
      <c r="J103" s="18">
        <f>IF(TRIM(F103)="","",IF(LEFT(TRIM(F103),2)="RM",IFERROR(IF(D103&gt;=DATE(2026,4,1),INDEX('LP RMH'!$F:$F,MATCH(TRIM(F103),'LP RMH'!$A:$A,0)),INDEX('LP RMH'!$E:$E,MATCH(TRIM(F103),'LP RMH'!$A:$A,0))),0),IFERROR(INDEX('LP MONCAR'!$E:$E,MATCH(TRIM(F103),'LP MONCAR'!$A:$A,0)),0)))</f>
        <v/>
      </c>
      <c r="K103" s="18" t="n">
        <v>18300</v>
      </c>
      <c r="L103" s="16" t="inlineStr">
        <is>
          <t>2026-02</t>
        </is>
      </c>
      <c r="M103" s="16" t="n"/>
      <c r="N103" s="20" t="n">
        <v>2387.976</v>
      </c>
      <c r="O103" s="18" t="n">
        <v>15912.024</v>
      </c>
      <c r="P103" s="16" t="inlineStr">
        <is>
          <t>BOSCH</t>
        </is>
      </c>
      <c r="Q103" s="16" t="inlineStr">
        <is>
          <t>FERRETERIA</t>
        </is>
      </c>
      <c r="R103" s="16" t="n"/>
      <c r="S103" s="16" t="n"/>
      <c r="T103" s="16" t="n"/>
      <c r="U103" s="16" t="n"/>
    </row>
    <row r="104">
      <c r="A104" s="37" t="n"/>
      <c r="B104" s="16" t="n">
        <v>3953</v>
      </c>
      <c r="C104" s="16" t="inlineStr">
        <is>
          <t>Maxi</t>
        </is>
      </c>
      <c r="D104" s="17" t="n">
        <v>46076</v>
      </c>
      <c r="E104" s="16" t="inlineStr">
        <is>
          <t>MONCAR</t>
        </is>
      </c>
      <c r="F104" s="16" t="inlineStr">
        <is>
          <t>CF 178</t>
        </is>
      </c>
      <c r="G104" s="18" t="n">
        <v>5</v>
      </c>
      <c r="H104" s="16" t="inlineStr">
        <is>
          <t>AYL MAQUINAS</t>
        </is>
      </c>
      <c r="I104" s="19" t="n"/>
      <c r="J104" s="18">
        <f>IF(TRIM(F104)="","",IF(LEFT(TRIM(F104),2)="RM",IFERROR(IF(D104&gt;=DATE(2026,4,1),INDEX('LP RMH'!$F:$F,MATCH(TRIM(F104),'LP RMH'!$A:$A,0)),INDEX('LP RMH'!$E:$E,MATCH(TRIM(F104),'LP RMH'!$A:$A,0))),0),IFERROR(INDEX('LP MONCAR'!$E:$E,MATCH(TRIM(F104),'LP MONCAR'!$A:$A,0)),0)))</f>
        <v/>
      </c>
      <c r="K104" s="18" t="n">
        <v>16100</v>
      </c>
      <c r="L104" s="16" t="inlineStr">
        <is>
          <t>2026-02</t>
        </is>
      </c>
      <c r="M104" s="16" t="n"/>
      <c r="N104" s="20" t="n">
        <v>2089.479</v>
      </c>
      <c r="O104" s="18" t="n">
        <v>14010.521</v>
      </c>
      <c r="P104" s="16" t="inlineStr">
        <is>
          <t>DE WALT</t>
        </is>
      </c>
      <c r="Q104" s="16" t="inlineStr">
        <is>
          <t>FERRETERIA</t>
        </is>
      </c>
      <c r="R104" s="16" t="n"/>
      <c r="S104" s="16" t="n"/>
      <c r="T104" s="16" t="n"/>
      <c r="U104" s="16" t="n"/>
    </row>
    <row r="105">
      <c r="A105" s="37" t="n"/>
      <c r="B105" s="16" t="n">
        <v>3953</v>
      </c>
      <c r="C105" s="16" t="inlineStr">
        <is>
          <t>Maxi</t>
        </is>
      </c>
      <c r="D105" s="17" t="n">
        <v>46076</v>
      </c>
      <c r="E105" s="16" t="inlineStr">
        <is>
          <t>MONCAR</t>
        </is>
      </c>
      <c r="F105" s="16" t="inlineStr">
        <is>
          <t>CF 190</t>
        </is>
      </c>
      <c r="G105" s="18" t="n">
        <v>5</v>
      </c>
      <c r="H105" s="16" t="inlineStr">
        <is>
          <t>AYL MAQUINAS</t>
        </is>
      </c>
      <c r="I105" s="19" t="n"/>
      <c r="J105" s="18">
        <f>IF(TRIM(F105)="","",IF(LEFT(TRIM(F105),2)="RM",IFERROR(IF(D105&gt;=DATE(2026,4,1),INDEX('LP RMH'!$F:$F,MATCH(TRIM(F105),'LP RMH'!$A:$A,0)),INDEX('LP RMH'!$E:$E,MATCH(TRIM(F105),'LP RMH'!$A:$A,0))),0),IFERROR(INDEX('LP MONCAR'!$E:$E,MATCH(TRIM(F105),'LP MONCAR'!$A:$A,0)),0)))</f>
        <v/>
      </c>
      <c r="K105" s="18" t="n">
        <v>17100</v>
      </c>
      <c r="L105" s="16" t="inlineStr">
        <is>
          <t>2026-02</t>
        </is>
      </c>
      <c r="M105" s="16" t="n"/>
      <c r="N105" s="20" t="n">
        <v>2238.7275</v>
      </c>
      <c r="O105" s="18" t="n">
        <v>14861.2725</v>
      </c>
      <c r="P105" s="16" t="inlineStr">
        <is>
          <t>DE WALT</t>
        </is>
      </c>
      <c r="Q105" s="16" t="inlineStr">
        <is>
          <t>FERRETERIA</t>
        </is>
      </c>
      <c r="R105" s="16" t="n"/>
      <c r="S105" s="16" t="n"/>
      <c r="T105" s="16" t="n"/>
      <c r="U105" s="16" t="n"/>
    </row>
    <row r="106">
      <c r="A106" s="37" t="n"/>
      <c r="B106" s="16" t="n">
        <v>3953</v>
      </c>
      <c r="C106" s="16" t="inlineStr">
        <is>
          <t>Maxi</t>
        </is>
      </c>
      <c r="D106" s="17" t="n">
        <v>46076</v>
      </c>
      <c r="E106" s="16" t="inlineStr">
        <is>
          <t>MONCAR</t>
        </is>
      </c>
      <c r="F106" s="16" t="inlineStr">
        <is>
          <t>CF 194</t>
        </is>
      </c>
      <c r="G106" s="18" t="n">
        <v>5</v>
      </c>
      <c r="H106" s="16" t="inlineStr">
        <is>
          <t>AYL MAQUINAS</t>
        </is>
      </c>
      <c r="I106" s="19" t="n"/>
      <c r="J106" s="18">
        <f>IF(TRIM(F106)="","",IF(LEFT(TRIM(F106),2)="RM",IFERROR(IF(D106&gt;=DATE(2026,4,1),INDEX('LP RMH'!$F:$F,MATCH(TRIM(F106),'LP RMH'!$A:$A,0)),INDEX('LP RMH'!$E:$E,MATCH(TRIM(F106),'LP RMH'!$A:$A,0))),0),IFERROR(INDEX('LP MONCAR'!$E:$E,MATCH(TRIM(F106),'LP MONCAR'!$A:$A,0)),0)))</f>
        <v/>
      </c>
      <c r="K106" s="18" t="n">
        <v>22200</v>
      </c>
      <c r="L106" s="16" t="inlineStr">
        <is>
          <t>2026-02</t>
        </is>
      </c>
      <c r="M106" s="16" t="n"/>
      <c r="N106" s="20" t="n">
        <v>3283.467</v>
      </c>
      <c r="O106" s="18" t="n">
        <v>18916.533</v>
      </c>
      <c r="P106" s="16" t="inlineStr">
        <is>
          <t>DE WALT</t>
        </is>
      </c>
      <c r="Q106" s="16" t="inlineStr">
        <is>
          <t>FERRETERIA</t>
        </is>
      </c>
      <c r="R106" s="16" t="n"/>
      <c r="S106" s="16" t="n"/>
      <c r="T106" s="16" t="n"/>
      <c r="U106" s="16" t="n"/>
    </row>
    <row r="107">
      <c r="A107" s="37" t="n"/>
      <c r="B107" s="16" t="n">
        <v>3953</v>
      </c>
      <c r="C107" s="16" t="inlineStr">
        <is>
          <t>Maxi</t>
        </is>
      </c>
      <c r="D107" s="17" t="n">
        <v>46076</v>
      </c>
      <c r="E107" s="16" t="inlineStr">
        <is>
          <t>MONCAR</t>
        </is>
      </c>
      <c r="F107" s="16" t="inlineStr">
        <is>
          <t>CF 195</t>
        </is>
      </c>
      <c r="G107" s="18" t="n">
        <v>5</v>
      </c>
      <c r="H107" s="16" t="inlineStr">
        <is>
          <t>AYL MAQUINAS</t>
        </is>
      </c>
      <c r="I107" s="19" t="n"/>
      <c r="J107" s="18">
        <f>IF(TRIM(F107)="","",IF(LEFT(TRIM(F107),2)="RM",IFERROR(IF(D107&gt;=DATE(2026,4,1),INDEX('LP RMH'!$F:$F,MATCH(TRIM(F107),'LP RMH'!$A:$A,0)),INDEX('LP RMH'!$E:$E,MATCH(TRIM(F107),'LP RMH'!$A:$A,0))),0),IFERROR(INDEX('LP MONCAR'!$E:$E,MATCH(TRIM(F107),'LP MONCAR'!$A:$A,0)),0)))</f>
        <v/>
      </c>
      <c r="K107" s="18" t="n">
        <v>25400</v>
      </c>
      <c r="L107" s="16" t="inlineStr">
        <is>
          <t>2026-02</t>
        </is>
      </c>
      <c r="M107" s="16" t="n"/>
      <c r="N107" s="20" t="n">
        <v>3283.467</v>
      </c>
      <c r="O107" s="18" t="n">
        <v>22116.533</v>
      </c>
      <c r="P107" s="16" t="inlineStr">
        <is>
          <t>DE WALT</t>
        </is>
      </c>
      <c r="Q107" s="16" t="inlineStr">
        <is>
          <t>FERRETERIA</t>
        </is>
      </c>
      <c r="R107" s="16" t="n"/>
      <c r="S107" s="16" t="n"/>
      <c r="T107" s="16" t="n"/>
      <c r="U107" s="16" t="n"/>
    </row>
    <row r="108">
      <c r="A108" s="37" t="n"/>
      <c r="B108" s="16" t="n">
        <v>3953</v>
      </c>
      <c r="C108" s="16" t="inlineStr">
        <is>
          <t>Maxi</t>
        </is>
      </c>
      <c r="D108" s="17" t="n">
        <v>46076</v>
      </c>
      <c r="E108" s="16" t="inlineStr">
        <is>
          <t>MONCAR</t>
        </is>
      </c>
      <c r="F108" s="16" t="inlineStr">
        <is>
          <t>CF 196</t>
        </is>
      </c>
      <c r="G108" s="18" t="n">
        <v>5</v>
      </c>
      <c r="H108" s="16" t="inlineStr">
        <is>
          <t>AYL MAQUINAS</t>
        </is>
      </c>
      <c r="I108" s="19" t="n"/>
      <c r="J108" s="18">
        <f>IF(TRIM(F108)="","",IF(LEFT(TRIM(F108),2)="RM",IFERROR(IF(D108&gt;=DATE(2026,4,1),INDEX('LP RMH'!$F:$F,MATCH(TRIM(F108),'LP RMH'!$A:$A,0)),INDEX('LP RMH'!$E:$E,MATCH(TRIM(F108),'LP RMH'!$A:$A,0))),0),IFERROR(INDEX('LP MONCAR'!$E:$E,MATCH(TRIM(F108),'LP MONCAR'!$A:$A,0)),0)))</f>
        <v/>
      </c>
      <c r="K108" s="18" t="n">
        <v>22200</v>
      </c>
      <c r="L108" s="16" t="inlineStr">
        <is>
          <t>2026-02</t>
        </is>
      </c>
      <c r="M108" s="16" t="n"/>
      <c r="N108" s="20" t="n">
        <v>3283.467</v>
      </c>
      <c r="O108" s="18" t="n">
        <v>18916.533</v>
      </c>
      <c r="P108" s="16" t="inlineStr">
        <is>
          <t>DE WALT</t>
        </is>
      </c>
      <c r="Q108" s="16" t="inlineStr">
        <is>
          <t>FERRETERIA</t>
        </is>
      </c>
      <c r="R108" s="16" t="n"/>
      <c r="S108" s="16" t="n"/>
      <c r="T108" s="16" t="n"/>
      <c r="U108" s="16" t="n"/>
    </row>
    <row r="109">
      <c r="A109" s="37" t="n"/>
      <c r="B109" s="16" t="n">
        <v>3953</v>
      </c>
      <c r="C109" s="16" t="inlineStr">
        <is>
          <t>Maxi</t>
        </is>
      </c>
      <c r="D109" s="17" t="n">
        <v>46076</v>
      </c>
      <c r="E109" s="16" t="inlineStr">
        <is>
          <t>MONCAR</t>
        </is>
      </c>
      <c r="F109" s="16" t="inlineStr">
        <is>
          <t>CF 198</t>
        </is>
      </c>
      <c r="G109" s="18" t="n">
        <v>5</v>
      </c>
      <c r="H109" s="16" t="inlineStr">
        <is>
          <t>AYL MAQUINAS</t>
        </is>
      </c>
      <c r="I109" s="19" t="n"/>
      <c r="J109" s="18">
        <f>IF(TRIM(F109)="","",IF(LEFT(TRIM(F109),2)="RM",IFERROR(IF(D109&gt;=DATE(2026,4,1),INDEX('LP RMH'!$F:$F,MATCH(TRIM(F109),'LP RMH'!$A:$A,0)),INDEX('LP RMH'!$E:$E,MATCH(TRIM(F109),'LP RMH'!$A:$A,0))),0),IFERROR(INDEX('LP MONCAR'!$E:$E,MATCH(TRIM(F109),'LP MONCAR'!$A:$A,0)),0)))</f>
        <v/>
      </c>
      <c r="K109" s="18" t="n">
        <v>23000</v>
      </c>
      <c r="L109" s="16" t="inlineStr">
        <is>
          <t>2026-02</t>
        </is>
      </c>
      <c r="M109" s="16" t="n"/>
      <c r="N109" s="20" t="n">
        <v>3283.467</v>
      </c>
      <c r="O109" s="18" t="n">
        <v>19716.533</v>
      </c>
      <c r="P109" s="16" t="inlineStr">
        <is>
          <t>DE WALT</t>
        </is>
      </c>
      <c r="Q109" s="16" t="inlineStr">
        <is>
          <t>FERRETERIA</t>
        </is>
      </c>
      <c r="R109" s="16" t="n"/>
      <c r="S109" s="16" t="n"/>
      <c r="T109" s="16" t="n"/>
      <c r="U109" s="16" t="n"/>
    </row>
    <row r="110">
      <c r="A110" s="37" t="n"/>
      <c r="B110" s="16" t="n">
        <v>3953</v>
      </c>
      <c r="C110" s="16" t="inlineStr">
        <is>
          <t>Maxi</t>
        </is>
      </c>
      <c r="D110" s="17" t="n">
        <v>46076</v>
      </c>
      <c r="E110" s="16" t="inlineStr">
        <is>
          <t>MONCAR</t>
        </is>
      </c>
      <c r="F110" s="16" t="inlineStr">
        <is>
          <t>CF 621</t>
        </is>
      </c>
      <c r="G110" s="18" t="n">
        <v>5</v>
      </c>
      <c r="H110" s="16" t="inlineStr">
        <is>
          <t>AYL MAQUINAS</t>
        </is>
      </c>
      <c r="I110" s="19" t="n"/>
      <c r="J110" s="18">
        <f>IF(TRIM(F110)="","",IF(LEFT(TRIM(F110),2)="RM",IFERROR(IF(D110&gt;=DATE(2026,4,1),INDEX('LP RMH'!$F:$F,MATCH(TRIM(F110),'LP RMH'!$A:$A,0)),INDEX('LP RMH'!$E:$E,MATCH(TRIM(F110),'LP RMH'!$A:$A,0))),0),IFERROR(INDEX('LP MONCAR'!$E:$E,MATCH(TRIM(F110),'LP MONCAR'!$A:$A,0)),0)))</f>
        <v/>
      </c>
      <c r="K110" s="18" t="n">
        <v>18500</v>
      </c>
      <c r="L110" s="16" t="inlineStr">
        <is>
          <t>2026-02</t>
        </is>
      </c>
      <c r="M110" s="16" t="n"/>
      <c r="N110" s="20" t="n">
        <v>2387.976</v>
      </c>
      <c r="O110" s="18" t="n">
        <v>16112.024</v>
      </c>
      <c r="P110" s="16" t="inlineStr">
        <is>
          <t>DE WALT</t>
        </is>
      </c>
      <c r="Q110" s="16" t="inlineStr">
        <is>
          <t>FERRETERIA</t>
        </is>
      </c>
      <c r="R110" s="16" t="n"/>
      <c r="S110" s="16" t="n"/>
      <c r="T110" s="16" t="n"/>
      <c r="U110" s="16" t="n"/>
    </row>
    <row r="111">
      <c r="A111" s="37" t="n"/>
      <c r="B111" s="16" t="n">
        <v>3953</v>
      </c>
      <c r="C111" s="16" t="inlineStr">
        <is>
          <t>Maxi</t>
        </is>
      </c>
      <c r="D111" s="17" t="n">
        <v>46076</v>
      </c>
      <c r="E111" s="16" t="inlineStr">
        <is>
          <t>MONCAR</t>
        </is>
      </c>
      <c r="F111" s="16" t="inlineStr">
        <is>
          <t>CF 761</t>
        </is>
      </c>
      <c r="G111" s="18" t="n">
        <v>5</v>
      </c>
      <c r="H111" s="16" t="inlineStr">
        <is>
          <t>AYL MAQUINAS</t>
        </is>
      </c>
      <c r="I111" s="19" t="n"/>
      <c r="J111" s="18">
        <f>IF(TRIM(F111)="","",IF(LEFT(TRIM(F111),2)="RM",IFERROR(IF(D111&gt;=DATE(2026,4,1),INDEX('LP RMH'!$F:$F,MATCH(TRIM(F111),'LP RMH'!$A:$A,0)),INDEX('LP RMH'!$E:$E,MATCH(TRIM(F111),'LP RMH'!$A:$A,0))),0),IFERROR(INDEX('LP MONCAR'!$E:$E,MATCH(TRIM(F111),'LP MONCAR'!$A:$A,0)),0)))</f>
        <v/>
      </c>
      <c r="K111" s="18" t="n">
        <v>20700</v>
      </c>
      <c r="L111" s="16" t="inlineStr">
        <is>
          <t>2026-02</t>
        </is>
      </c>
      <c r="M111" s="16" t="n"/>
      <c r="N111" s="20" t="n">
        <v>2686.473</v>
      </c>
      <c r="O111" s="18" t="n">
        <v>18013.527</v>
      </c>
      <c r="P111" s="16" t="inlineStr">
        <is>
          <t>DOWEN PAGGIO</t>
        </is>
      </c>
      <c r="Q111" s="16" t="inlineStr">
        <is>
          <t>FERRETERIA</t>
        </is>
      </c>
      <c r="R111" s="16" t="n"/>
      <c r="S111" s="16" t="n"/>
      <c r="T111" s="16" t="n"/>
      <c r="U111" s="16" t="n"/>
    </row>
    <row r="112">
      <c r="A112" s="37" t="n"/>
      <c r="B112" s="16" t="n">
        <v>3953</v>
      </c>
      <c r="C112" s="16" t="inlineStr">
        <is>
          <t>Maxi</t>
        </is>
      </c>
      <c r="D112" s="17" t="n">
        <v>46076</v>
      </c>
      <c r="E112" s="16" t="inlineStr">
        <is>
          <t>MONCAR</t>
        </is>
      </c>
      <c r="F112" s="16" t="inlineStr">
        <is>
          <t>CF 765</t>
        </is>
      </c>
      <c r="G112" s="18" t="n">
        <v>5</v>
      </c>
      <c r="H112" s="16" t="inlineStr">
        <is>
          <t>AYL MAQUINAS</t>
        </is>
      </c>
      <c r="I112" s="19" t="n"/>
      <c r="J112" s="18">
        <f>IF(TRIM(F112)="","",IF(LEFT(TRIM(F112),2)="RM",IFERROR(IF(D112&gt;=DATE(2026,4,1),INDEX('LP RMH'!$F:$F,MATCH(TRIM(F112),'LP RMH'!$A:$A,0)),INDEX('LP RMH'!$E:$E,MATCH(TRIM(F112),'LP RMH'!$A:$A,0))),0),IFERROR(INDEX('LP MONCAR'!$E:$E,MATCH(TRIM(F112),'LP MONCAR'!$A:$A,0)),0)))</f>
        <v/>
      </c>
      <c r="K112" s="18" t="n">
        <v>11500</v>
      </c>
      <c r="L112" s="16" t="inlineStr">
        <is>
          <t>2026-02</t>
        </is>
      </c>
      <c r="M112" s="16" t="n"/>
      <c r="N112" s="20" t="n">
        <v>1492.485</v>
      </c>
      <c r="O112" s="18" t="n">
        <v>10007.515</v>
      </c>
      <c r="P112" s="16" t="inlineStr">
        <is>
          <t>DOWEN PAGGIO</t>
        </is>
      </c>
      <c r="Q112" s="16" t="inlineStr">
        <is>
          <t>FERRETERIA</t>
        </is>
      </c>
      <c r="R112" s="16" t="n"/>
      <c r="S112" s="16" t="n"/>
      <c r="T112" s="16" t="n"/>
      <c r="U112" s="16" t="n"/>
    </row>
    <row r="113">
      <c r="A113" s="37" t="n"/>
      <c r="B113" s="16" t="n">
        <v>3953</v>
      </c>
      <c r="C113" s="16" t="inlineStr">
        <is>
          <t>Maxi</t>
        </is>
      </c>
      <c r="D113" s="17" t="n">
        <v>46076</v>
      </c>
      <c r="E113" s="16" t="inlineStr">
        <is>
          <t>MONCAR</t>
        </is>
      </c>
      <c r="F113" s="16" t="inlineStr">
        <is>
          <t>CF 766</t>
        </is>
      </c>
      <c r="G113" s="18" t="n">
        <v>5</v>
      </c>
      <c r="H113" s="16" t="inlineStr">
        <is>
          <t>AYL MAQUINAS</t>
        </is>
      </c>
      <c r="I113" s="19" t="n"/>
      <c r="J113" s="18">
        <f>IF(TRIM(F113)="","",IF(LEFT(TRIM(F113),2)="RM",IFERROR(IF(D113&gt;=DATE(2026,4,1),INDEX('LP RMH'!$F:$F,MATCH(TRIM(F113),'LP RMH'!$A:$A,0)),INDEX('LP RMH'!$E:$E,MATCH(TRIM(F113),'LP RMH'!$A:$A,0))),0),IFERROR(INDEX('LP MONCAR'!$E:$E,MATCH(TRIM(F113),'LP MONCAR'!$A:$A,0)),0)))</f>
        <v/>
      </c>
      <c r="K113" s="18" t="n">
        <v>13850</v>
      </c>
      <c r="L113" s="16" t="inlineStr">
        <is>
          <t>2026-02</t>
        </is>
      </c>
      <c r="M113" s="16" t="n"/>
      <c r="N113" s="20" t="n">
        <v>1790.982</v>
      </c>
      <c r="O113" s="18" t="n">
        <v>12059.018</v>
      </c>
      <c r="P113" s="16" t="inlineStr">
        <is>
          <t>DOWEN PAGGIO</t>
        </is>
      </c>
      <c r="Q113" s="16" t="inlineStr">
        <is>
          <t>FERRETERIA</t>
        </is>
      </c>
      <c r="R113" s="16" t="n"/>
      <c r="S113" s="16" t="n"/>
      <c r="T113" s="16" t="n"/>
      <c r="U113" s="16" t="n"/>
    </row>
    <row r="114">
      <c r="A114" s="37" t="n"/>
      <c r="B114" s="16" t="n">
        <v>3953</v>
      </c>
      <c r="C114" s="16" t="inlineStr">
        <is>
          <t>Maxi</t>
        </is>
      </c>
      <c r="D114" s="17" t="n">
        <v>46076</v>
      </c>
      <c r="E114" s="16" t="inlineStr">
        <is>
          <t>MONCAR</t>
        </is>
      </c>
      <c r="F114" s="16" t="inlineStr">
        <is>
          <t>CF 768</t>
        </is>
      </c>
      <c r="G114" s="18" t="n">
        <v>5</v>
      </c>
      <c r="H114" s="16" t="inlineStr">
        <is>
          <t>AYL MAQUINAS</t>
        </is>
      </c>
      <c r="I114" s="19" t="n"/>
      <c r="J114" s="18">
        <f>IF(TRIM(F114)="","",IF(LEFT(TRIM(F114),2)="RM",IFERROR(IF(D114&gt;=DATE(2026,4,1),INDEX('LP RMH'!$F:$F,MATCH(TRIM(F114),'LP RMH'!$A:$A,0)),INDEX('LP RMH'!$E:$E,MATCH(TRIM(F114),'LP RMH'!$A:$A,0))),0),IFERROR(INDEX('LP MONCAR'!$E:$E,MATCH(TRIM(F114),'LP MONCAR'!$A:$A,0)),0)))</f>
        <v/>
      </c>
      <c r="K114" s="18" t="n">
        <v>24100</v>
      </c>
      <c r="L114" s="16" t="inlineStr">
        <is>
          <t>2026-02</t>
        </is>
      </c>
      <c r="M114" s="16" t="n"/>
      <c r="N114" s="20" t="n">
        <v>3134.218499999999</v>
      </c>
      <c r="O114" s="18" t="n">
        <v>20965.7815</v>
      </c>
      <c r="P114" s="16" t="inlineStr">
        <is>
          <t>DOWEN PAGGIO</t>
        </is>
      </c>
      <c r="Q114" s="16" t="inlineStr">
        <is>
          <t>FERRETERIA</t>
        </is>
      </c>
      <c r="R114" s="16" t="n"/>
      <c r="S114" s="16" t="n"/>
      <c r="T114" s="16" t="n"/>
      <c r="U114" s="16" t="n"/>
    </row>
    <row r="115">
      <c r="A115" s="37" t="n"/>
      <c r="B115" s="16" t="n">
        <v>3953</v>
      </c>
      <c r="C115" s="16" t="inlineStr">
        <is>
          <t>Maxi</t>
        </is>
      </c>
      <c r="D115" s="17" t="n">
        <v>46076</v>
      </c>
      <c r="E115" s="16" t="inlineStr">
        <is>
          <t>MONCAR</t>
        </is>
      </c>
      <c r="F115" s="16" t="inlineStr">
        <is>
          <t>CF 762</t>
        </is>
      </c>
      <c r="G115" s="18" t="n">
        <v>5</v>
      </c>
      <c r="H115" s="16" t="inlineStr">
        <is>
          <t>AYL MAQUINAS</t>
        </is>
      </c>
      <c r="I115" s="19" t="n"/>
      <c r="J115" s="18">
        <f>IF(TRIM(F115)="","",IF(LEFT(TRIM(F115),2)="RM",IFERROR(IF(D115&gt;=DATE(2026,4,1),INDEX('LP RMH'!$F:$F,MATCH(TRIM(F115),'LP RMH'!$A:$A,0)),INDEX('LP RMH'!$E:$E,MATCH(TRIM(F115),'LP RMH'!$A:$A,0))),0),IFERROR(INDEX('LP MONCAR'!$E:$E,MATCH(TRIM(F115),'LP MONCAR'!$A:$A,0)),0)))</f>
        <v/>
      </c>
      <c r="K115" s="18" t="n">
        <v>12650</v>
      </c>
      <c r="L115" s="16" t="inlineStr">
        <is>
          <t>2026-02</t>
        </is>
      </c>
      <c r="M115" s="16" t="n"/>
      <c r="N115" s="20" t="n">
        <v>1641.7335</v>
      </c>
      <c r="O115" s="18" t="n">
        <v>11008.2665</v>
      </c>
      <c r="P115" s="16" t="inlineStr">
        <is>
          <t>DOWEN PAGGIO</t>
        </is>
      </c>
      <c r="Q115" s="16" t="inlineStr">
        <is>
          <t>FERRETERIA</t>
        </is>
      </c>
      <c r="R115" s="16" t="n"/>
      <c r="S115" s="16" t="n"/>
      <c r="T115" s="16" t="n"/>
      <c r="U115" s="16" t="n"/>
    </row>
    <row r="116">
      <c r="A116" s="37" t="n"/>
      <c r="B116" s="16" t="n">
        <v>3953</v>
      </c>
      <c r="C116" s="16" t="inlineStr">
        <is>
          <t>Maxi</t>
        </is>
      </c>
      <c r="D116" s="17" t="n">
        <v>46076</v>
      </c>
      <c r="E116" s="16" t="inlineStr">
        <is>
          <t>MONCAR</t>
        </is>
      </c>
      <c r="F116" s="16" t="inlineStr">
        <is>
          <t>CF 055</t>
        </is>
      </c>
      <c r="G116" s="18" t="n">
        <v>5</v>
      </c>
      <c r="H116" s="16" t="inlineStr">
        <is>
          <t>AYL MAQUINAS</t>
        </is>
      </c>
      <c r="I116" s="19" t="n"/>
      <c r="J116" s="18">
        <f>IF(TRIM(F116)="","",IF(LEFT(TRIM(F116),2)="RM",IFERROR(IF(D116&gt;=DATE(2026,4,1),INDEX('LP RMH'!$F:$F,MATCH(TRIM(F116),'LP RMH'!$A:$A,0)),INDEX('LP RMH'!$E:$E,MATCH(TRIM(F116),'LP RMH'!$A:$A,0))),0),IFERROR(INDEX('LP MONCAR'!$E:$E,MATCH(TRIM(F116),'LP MONCAR'!$A:$A,0)),0)))</f>
        <v/>
      </c>
      <c r="K116" s="18" t="n">
        <v>23500</v>
      </c>
      <c r="L116" s="16" t="inlineStr">
        <is>
          <t>2026-02</t>
        </is>
      </c>
      <c r="M116" s="16" t="n"/>
      <c r="N116" s="20" t="n">
        <v>3432.7155</v>
      </c>
      <c r="O116" s="18" t="n">
        <v>20067.2845</v>
      </c>
      <c r="P116" s="16" t="inlineStr">
        <is>
          <t>MAKITA</t>
        </is>
      </c>
      <c r="Q116" s="16" t="inlineStr">
        <is>
          <t>FERRETERIA</t>
        </is>
      </c>
      <c r="R116" s="16" t="n"/>
      <c r="S116" s="16" t="n"/>
      <c r="T116" s="16" t="n"/>
      <c r="U116" s="16" t="n"/>
    </row>
    <row r="117">
      <c r="A117" s="37" t="n"/>
      <c r="B117" s="16" t="n">
        <v>3953</v>
      </c>
      <c r="C117" s="16" t="inlineStr">
        <is>
          <t>Maxi</t>
        </is>
      </c>
      <c r="D117" s="17" t="n">
        <v>46076</v>
      </c>
      <c r="E117" s="16" t="inlineStr">
        <is>
          <t>MONCAR</t>
        </is>
      </c>
      <c r="F117" s="16" t="inlineStr">
        <is>
          <t>CF 635</t>
        </is>
      </c>
      <c r="G117" s="18" t="n">
        <v>5</v>
      </c>
      <c r="H117" s="16" t="inlineStr">
        <is>
          <t>AYL MAQUINAS</t>
        </is>
      </c>
      <c r="I117" s="19" t="n"/>
      <c r="J117" s="18">
        <f>IF(TRIM(F117)="","",IF(LEFT(TRIM(F117),2)="RM",IFERROR(IF(D117&gt;=DATE(2026,4,1),INDEX('LP RMH'!$F:$F,MATCH(TRIM(F117),'LP RMH'!$A:$A,0)),INDEX('LP RMH'!$E:$E,MATCH(TRIM(F117),'LP RMH'!$A:$A,0))),0),IFERROR(INDEX('LP MONCAR'!$E:$E,MATCH(TRIM(F117),'LP MONCAR'!$A:$A,0)),0)))</f>
        <v/>
      </c>
      <c r="K117" s="18" t="n">
        <v>11500</v>
      </c>
      <c r="L117" s="16" t="inlineStr">
        <is>
          <t>2026-02</t>
        </is>
      </c>
      <c r="M117" s="16" t="n"/>
      <c r="N117" s="20" t="n">
        <v>1492.485</v>
      </c>
      <c r="O117" s="18" t="n">
        <v>10007.515</v>
      </c>
      <c r="P117" s="16" t="inlineStr">
        <is>
          <t>MAKITA</t>
        </is>
      </c>
      <c r="Q117" s="16" t="inlineStr">
        <is>
          <t>FERRETERIA</t>
        </is>
      </c>
      <c r="R117" s="16" t="n"/>
      <c r="S117" s="16" t="n"/>
      <c r="T117" s="16" t="n"/>
      <c r="U117" s="16" t="n"/>
    </row>
    <row r="118">
      <c r="A118" s="37" t="n"/>
      <c r="B118" s="16" t="n">
        <v>3953</v>
      </c>
      <c r="C118" s="16" t="inlineStr">
        <is>
          <t>Maxi</t>
        </is>
      </c>
      <c r="D118" s="17" t="n">
        <v>46076</v>
      </c>
      <c r="E118" s="16" t="inlineStr">
        <is>
          <t>MONCAR</t>
        </is>
      </c>
      <c r="F118" s="16" t="inlineStr">
        <is>
          <t>CF 058</t>
        </is>
      </c>
      <c r="G118" s="18" t="n">
        <v>5</v>
      </c>
      <c r="H118" s="16" t="inlineStr">
        <is>
          <t>AYL MAQUINAS</t>
        </is>
      </c>
      <c r="I118" s="19" t="n"/>
      <c r="J118" s="18">
        <f>IF(TRIM(F118)="","",IF(LEFT(TRIM(F118),2)="RM",IFERROR(IF(D118&gt;=DATE(2026,4,1),INDEX('LP RMH'!$F:$F,MATCH(TRIM(F118),'LP RMH'!$A:$A,0)),INDEX('LP RMH'!$E:$E,MATCH(TRIM(F118),'LP RMH'!$A:$A,0))),0),IFERROR(INDEX('LP MONCAR'!$E:$E,MATCH(TRIM(F118),'LP MONCAR'!$A:$A,0)),0)))</f>
        <v/>
      </c>
      <c r="K118" s="18" t="n">
        <v>23550</v>
      </c>
      <c r="L118" s="16" t="inlineStr">
        <is>
          <t>2026-02</t>
        </is>
      </c>
      <c r="M118" s="16" t="n"/>
      <c r="N118" s="20" t="n">
        <v>3283.467</v>
      </c>
      <c r="O118" s="18" t="n">
        <v>20266.533</v>
      </c>
      <c r="P118" s="16" t="inlineStr">
        <is>
          <t>MARTINS</t>
        </is>
      </c>
      <c r="Q118" s="16" t="inlineStr">
        <is>
          <t>FERRETERIA</t>
        </is>
      </c>
      <c r="R118" s="16" t="n"/>
      <c r="S118" s="16" t="n"/>
      <c r="T118" s="16" t="n"/>
      <c r="U118" s="16" t="n"/>
    </row>
    <row r="119">
      <c r="A119" s="37" t="n"/>
      <c r="B119" s="16" t="n">
        <v>3953</v>
      </c>
      <c r="C119" s="16" t="inlineStr">
        <is>
          <t>Maxi</t>
        </is>
      </c>
      <c r="D119" s="17" t="n">
        <v>46076</v>
      </c>
      <c r="E119" s="16" t="inlineStr">
        <is>
          <t>MONCAR</t>
        </is>
      </c>
      <c r="F119" s="16" t="inlineStr">
        <is>
          <t>CF 643</t>
        </is>
      </c>
      <c r="G119" s="18" t="n">
        <v>5</v>
      </c>
      <c r="H119" s="16" t="inlineStr">
        <is>
          <t>AYL MAQUINAS</t>
        </is>
      </c>
      <c r="I119" s="19" t="n"/>
      <c r="J119" s="18">
        <f>IF(TRIM(F119)="","",IF(LEFT(TRIM(F119),2)="RM",IFERROR(IF(D119&gt;=DATE(2026,4,1),INDEX('LP RMH'!$F:$F,MATCH(TRIM(F119),'LP RMH'!$A:$A,0)),INDEX('LP RMH'!$E:$E,MATCH(TRIM(F119),'LP RMH'!$A:$A,0))),0),IFERROR(INDEX('LP MONCAR'!$E:$E,MATCH(TRIM(F119),'LP MONCAR'!$A:$A,0)),0)))</f>
        <v/>
      </c>
      <c r="K119" s="18" t="n">
        <v>14900</v>
      </c>
      <c r="L119" s="16" t="inlineStr">
        <is>
          <t>2026-02</t>
        </is>
      </c>
      <c r="M119" s="16" t="n"/>
      <c r="N119" s="20" t="n">
        <v>1940.2305</v>
      </c>
      <c r="O119" s="18" t="n">
        <v>12959.7695</v>
      </c>
      <c r="P119" s="16" t="inlineStr">
        <is>
          <t>METABO</t>
        </is>
      </c>
      <c r="Q119" s="16" t="inlineStr">
        <is>
          <t>FERRETERIA</t>
        </is>
      </c>
      <c r="R119" s="16" t="n"/>
      <c r="S119" s="16" t="n"/>
      <c r="T119" s="16" t="n"/>
      <c r="U119" s="16" t="n"/>
    </row>
    <row r="120">
      <c r="A120" s="37" t="n"/>
      <c r="B120" s="16" t="n">
        <v>3953</v>
      </c>
      <c r="C120" s="16" t="inlineStr">
        <is>
          <t>Maxi</t>
        </is>
      </c>
      <c r="D120" s="17" t="n">
        <v>46076</v>
      </c>
      <c r="E120" s="16" t="inlineStr">
        <is>
          <t>MONCAR</t>
        </is>
      </c>
      <c r="F120" s="16" t="inlineStr">
        <is>
          <t>CF 971</t>
        </is>
      </c>
      <c r="G120" s="18" t="n">
        <v>5</v>
      </c>
      <c r="H120" s="16" t="inlineStr">
        <is>
          <t>AYL MAQUINAS</t>
        </is>
      </c>
      <c r="I120" s="19" t="n"/>
      <c r="J120" s="18">
        <f>IF(TRIM(F120)="","",IF(LEFT(TRIM(F120),2)="RM",IFERROR(IF(D120&gt;=DATE(2026,4,1),INDEX('LP RMH'!$F:$F,MATCH(TRIM(F120),'LP RMH'!$A:$A,0)),INDEX('LP RMH'!$E:$E,MATCH(TRIM(F120),'LP RMH'!$A:$A,0))),0),IFERROR(INDEX('LP MONCAR'!$E:$E,MATCH(TRIM(F120),'LP MONCAR'!$A:$A,0)),0)))</f>
        <v/>
      </c>
      <c r="K120" s="18" t="n">
        <v>16650</v>
      </c>
      <c r="L120" s="16" t="inlineStr">
        <is>
          <t>2026-02</t>
        </is>
      </c>
      <c r="M120" s="16" t="n"/>
      <c r="N120" s="20" t="n"/>
      <c r="O120" s="18" t="n"/>
      <c r="P120" s="16" t="inlineStr">
        <is>
          <t>MILWAUKEE</t>
        </is>
      </c>
      <c r="Q120" s="16" t="inlineStr">
        <is>
          <t>FERRETERIA</t>
        </is>
      </c>
      <c r="R120" s="16" t="n"/>
      <c r="S120" s="16" t="n"/>
      <c r="T120" s="16" t="n"/>
      <c r="U120" s="16" t="n"/>
    </row>
    <row r="121">
      <c r="A121" s="37" t="n"/>
      <c r="B121" s="16" t="n">
        <v>3953</v>
      </c>
      <c r="C121" s="16" t="inlineStr">
        <is>
          <t>Maxi</t>
        </is>
      </c>
      <c r="D121" s="17" t="n">
        <v>46076</v>
      </c>
      <c r="E121" s="16" t="inlineStr">
        <is>
          <t>MONCAR</t>
        </is>
      </c>
      <c r="F121" s="16" t="inlineStr">
        <is>
          <t>CF 648</t>
        </is>
      </c>
      <c r="G121" s="18" t="n">
        <v>5</v>
      </c>
      <c r="H121" s="16" t="inlineStr">
        <is>
          <t>AYL MAQUINAS</t>
        </is>
      </c>
      <c r="I121" s="19" t="n"/>
      <c r="J121" s="18">
        <f>IF(TRIM(F121)="","",IF(LEFT(TRIM(F121),2)="RM",IFERROR(IF(D121&gt;=DATE(2026,4,1),INDEX('LP RMH'!$F:$F,MATCH(TRIM(F121),'LP RMH'!$A:$A,0)),INDEX('LP RMH'!$E:$E,MATCH(TRIM(F121),'LP RMH'!$A:$A,0))),0),IFERROR(INDEX('LP MONCAR'!$E:$E,MATCH(TRIM(F121),'LP MONCAR'!$A:$A,0)),0)))</f>
        <v/>
      </c>
      <c r="K121" s="18" t="n">
        <v>12650</v>
      </c>
      <c r="L121" s="16" t="inlineStr">
        <is>
          <t>2026-02</t>
        </is>
      </c>
      <c r="M121" s="16" t="n"/>
      <c r="N121" s="20" t="n"/>
      <c r="O121" s="18" t="n"/>
      <c r="P121" s="16" t="inlineStr">
        <is>
          <t>SKIL</t>
        </is>
      </c>
      <c r="Q121" s="16" t="inlineStr">
        <is>
          <t>FERRETERIA</t>
        </is>
      </c>
      <c r="R121" s="16" t="n"/>
      <c r="S121" s="16" t="n"/>
      <c r="T121" s="16" t="n"/>
      <c r="U121" s="16" t="n"/>
    </row>
    <row r="122">
      <c r="A122" s="37" t="n"/>
      <c r="B122" s="16" t="n">
        <v>3953</v>
      </c>
      <c r="C122" s="16" t="inlineStr">
        <is>
          <t>Maxi</t>
        </is>
      </c>
      <c r="D122" s="17" t="n">
        <v>46076</v>
      </c>
      <c r="E122" s="16" t="inlineStr">
        <is>
          <t>MONCAR</t>
        </is>
      </c>
      <c r="F122" s="16" t="inlineStr">
        <is>
          <t>CF 661</t>
        </is>
      </c>
      <c r="G122" s="18" t="n">
        <v>5</v>
      </c>
      <c r="H122" s="16" t="inlineStr">
        <is>
          <t>AYL MAQUINAS</t>
        </is>
      </c>
      <c r="I122" s="19" t="n"/>
      <c r="J122" s="18">
        <f>IF(TRIM(F122)="","",IF(LEFT(TRIM(F122),2)="RM",IFERROR(IF(D122&gt;=DATE(2026,4,1),INDEX('LP RMH'!$F:$F,MATCH(TRIM(F122),'LP RMH'!$A:$A,0)),INDEX('LP RMH'!$E:$E,MATCH(TRIM(F122),'LP RMH'!$A:$A,0))),0),IFERROR(INDEX('LP MONCAR'!$E:$E,MATCH(TRIM(F122),'LP MONCAR'!$A:$A,0)),0)))</f>
        <v/>
      </c>
      <c r="K122" s="18" t="n">
        <v>17100</v>
      </c>
      <c r="L122" s="16" t="inlineStr">
        <is>
          <t>2026-02</t>
        </is>
      </c>
      <c r="M122" s="16" t="n"/>
      <c r="N122" s="20" t="n">
        <v>2238.7275</v>
      </c>
      <c r="O122" s="18" t="n">
        <v>14861.2725</v>
      </c>
      <c r="P122" s="16" t="inlineStr">
        <is>
          <t>SKIL</t>
        </is>
      </c>
      <c r="Q122" s="16" t="inlineStr">
        <is>
          <t>FERRETERIA</t>
        </is>
      </c>
      <c r="R122" s="16" t="n"/>
      <c r="S122" s="16" t="n"/>
      <c r="T122" s="16" t="n"/>
      <c r="U122" s="16" t="n"/>
    </row>
    <row r="123">
      <c r="A123" s="37" t="n"/>
      <c r="B123" s="16" t="n">
        <v>3953</v>
      </c>
      <c r="C123" s="16" t="inlineStr">
        <is>
          <t>Maxi</t>
        </is>
      </c>
      <c r="D123" s="17" t="n">
        <v>46076</v>
      </c>
      <c r="E123" s="16" t="inlineStr">
        <is>
          <t>MONCAR</t>
        </is>
      </c>
      <c r="F123" s="16" t="inlineStr">
        <is>
          <t>CF 094</t>
        </is>
      </c>
      <c r="G123" s="18" t="n">
        <v>5</v>
      </c>
      <c r="H123" s="16" t="inlineStr">
        <is>
          <t>AYL MAQUINAS</t>
        </is>
      </c>
      <c r="I123" s="19" t="n"/>
      <c r="J123" s="18">
        <f>IF(TRIM(F123)="","",IF(LEFT(TRIM(F123),2)="RM",IFERROR(IF(D123&gt;=DATE(2026,4,1),INDEX('LP RMH'!$F:$F,MATCH(TRIM(F123),'LP RMH'!$A:$A,0)),INDEX('LP RMH'!$E:$E,MATCH(TRIM(F123),'LP RMH'!$A:$A,0))),0),IFERROR(INDEX('LP MONCAR'!$E:$E,MATCH(TRIM(F123),'LP MONCAR'!$A:$A,0)),0)))</f>
        <v/>
      </c>
      <c r="K123" s="18" t="n">
        <v>8000</v>
      </c>
      <c r="L123" s="16" t="inlineStr">
        <is>
          <t>2026-02</t>
        </is>
      </c>
      <c r="M123" s="16" t="n"/>
      <c r="N123" s="20" t="n">
        <v>1044.7395</v>
      </c>
      <c r="O123" s="18" t="n">
        <v>6955.2605</v>
      </c>
      <c r="P123" s="16" t="inlineStr">
        <is>
          <t>SKIL</t>
        </is>
      </c>
      <c r="Q123" s="16" t="inlineStr">
        <is>
          <t>FERRETERIA</t>
        </is>
      </c>
      <c r="R123" s="16" t="n"/>
      <c r="S123" s="16" t="n"/>
      <c r="T123" s="16" t="n"/>
      <c r="U123" s="16" t="n"/>
    </row>
    <row r="124">
      <c r="A124" s="37" t="n"/>
      <c r="B124" s="16" t="n">
        <v>3953</v>
      </c>
      <c r="C124" s="16" t="inlineStr">
        <is>
          <t>Maxi</t>
        </is>
      </c>
      <c r="D124" s="17" t="n">
        <v>46076</v>
      </c>
      <c r="E124" s="16" t="inlineStr">
        <is>
          <t>MONCAR</t>
        </is>
      </c>
      <c r="F124" s="16" t="inlineStr">
        <is>
          <t>CF 401</t>
        </is>
      </c>
      <c r="G124" s="18" t="n">
        <v>5</v>
      </c>
      <c r="H124" s="16" t="inlineStr">
        <is>
          <t>AYL MAQUINAS</t>
        </is>
      </c>
      <c r="I124" s="19" t="n"/>
      <c r="J124" s="18">
        <f>IF(TRIM(F124)="","",IF(LEFT(TRIM(F124),2)="RM",IFERROR(IF(D124&gt;=DATE(2026,4,1),INDEX('LP RMH'!$F:$F,MATCH(TRIM(F124),'LP RMH'!$A:$A,0)),INDEX('LP RMH'!$E:$E,MATCH(TRIM(F124),'LP RMH'!$A:$A,0))),0),IFERROR(INDEX('LP MONCAR'!$E:$E,MATCH(TRIM(F124),'LP MONCAR'!$A:$A,0)),0)))</f>
        <v/>
      </c>
      <c r="K124" s="18" t="n">
        <v>18200</v>
      </c>
      <c r="L124" s="16" t="inlineStr">
        <is>
          <t>2026-02</t>
        </is>
      </c>
      <c r="M124" s="16" t="n"/>
      <c r="N124" s="20" t="n"/>
      <c r="O124" s="18" t="n"/>
      <c r="P124" s="16" t="inlineStr">
        <is>
          <t>STANLEY</t>
        </is>
      </c>
      <c r="Q124" s="16" t="inlineStr">
        <is>
          <t>FERRETERIA</t>
        </is>
      </c>
      <c r="R124" s="16" t="n"/>
      <c r="S124" s="16" t="n"/>
      <c r="T124" s="16" t="n"/>
      <c r="U124" s="16" t="n"/>
    </row>
    <row r="125">
      <c r="A125" s="37" t="n"/>
      <c r="B125" s="16" t="n">
        <v>3953</v>
      </c>
      <c r="C125" s="16" t="inlineStr">
        <is>
          <t>Maxi</t>
        </is>
      </c>
      <c r="D125" s="17" t="n">
        <v>46076</v>
      </c>
      <c r="E125" s="16" t="inlineStr">
        <is>
          <t>MONCAR</t>
        </is>
      </c>
      <c r="F125" s="16" t="inlineStr">
        <is>
          <t>CF 100</t>
        </is>
      </c>
      <c r="G125" s="18" t="n">
        <v>5</v>
      </c>
      <c r="H125" s="16" t="inlineStr">
        <is>
          <t>AYL MAQUINAS</t>
        </is>
      </c>
      <c r="I125" s="19" t="n"/>
      <c r="J125" s="18">
        <f>IF(TRIM(F125)="","",IF(LEFT(TRIM(F125),2)="RM",IFERROR(IF(D125&gt;=DATE(2026,4,1),INDEX('LP RMH'!$F:$F,MATCH(TRIM(F125),'LP RMH'!$A:$A,0)),INDEX('LP RMH'!$E:$E,MATCH(TRIM(F125),'LP RMH'!$A:$A,0))),0),IFERROR(INDEX('LP MONCAR'!$E:$E,MATCH(TRIM(F125),'LP MONCAR'!$A:$A,0)),0)))</f>
        <v/>
      </c>
      <c r="K125" s="18" t="n">
        <v>26200</v>
      </c>
      <c r="L125" s="16" t="inlineStr">
        <is>
          <t>2026-02</t>
        </is>
      </c>
      <c r="M125" s="16" t="n"/>
      <c r="N125" s="20" t="n">
        <v>3581.964</v>
      </c>
      <c r="O125" s="18" t="n">
        <v>22618.036</v>
      </c>
      <c r="P125" s="16" t="inlineStr">
        <is>
          <t>STAYER</t>
        </is>
      </c>
      <c r="Q125" s="16" t="inlineStr">
        <is>
          <t>FERRETERIA</t>
        </is>
      </c>
      <c r="R125" s="16" t="n"/>
      <c r="S125" s="16" t="n"/>
      <c r="T125" s="16" t="n"/>
      <c r="U125" s="16" t="n"/>
    </row>
    <row r="126">
      <c r="A126" s="37" t="n"/>
      <c r="B126" s="16" t="n">
        <v>3953</v>
      </c>
      <c r="C126" s="16" t="inlineStr">
        <is>
          <t>Maxi</t>
        </is>
      </c>
      <c r="D126" s="17" t="n">
        <v>46076</v>
      </c>
      <c r="E126" s="16" t="inlineStr">
        <is>
          <t>MONCAR</t>
        </is>
      </c>
      <c r="F126" s="16" t="inlineStr">
        <is>
          <t>CF 498</t>
        </is>
      </c>
      <c r="G126" s="18" t="n">
        <v>5</v>
      </c>
      <c r="H126" s="16" t="inlineStr">
        <is>
          <t>AYL MAQUINAS</t>
        </is>
      </c>
      <c r="I126" s="19" t="n"/>
      <c r="J126" s="18">
        <f>IF(TRIM(F126)="","",IF(LEFT(TRIM(F126),2)="RM",IFERROR(IF(D126&gt;=DATE(2026,4,1),INDEX('LP RMH'!$F:$F,MATCH(TRIM(F126),'LP RMH'!$A:$A,0)),INDEX('LP RMH'!$E:$E,MATCH(TRIM(F126),'LP RMH'!$A:$A,0))),0),IFERROR(INDEX('LP MONCAR'!$E:$E,MATCH(TRIM(F126),'LP MONCAR'!$A:$A,0)),0)))</f>
        <v/>
      </c>
      <c r="K126" s="18" t="n">
        <v>18650</v>
      </c>
      <c r="L126" s="16" t="inlineStr">
        <is>
          <t>2026-02</t>
        </is>
      </c>
      <c r="M126" s="16" t="n"/>
      <c r="N126" s="20" t="n">
        <v>2387.976</v>
      </c>
      <c r="O126" s="18" t="n">
        <v>16262.024</v>
      </c>
      <c r="P126" s="16" t="inlineStr">
        <is>
          <t>STINGRAY</t>
        </is>
      </c>
      <c r="Q126" s="16" t="inlineStr">
        <is>
          <t>FERRETERIA</t>
        </is>
      </c>
      <c r="R126" s="16" t="n"/>
      <c r="S126" s="16" t="n"/>
      <c r="T126" s="16" t="n"/>
      <c r="U126" s="16" t="n"/>
    </row>
    <row r="127">
      <c r="A127" s="37" t="n"/>
      <c r="B127" s="16" t="n">
        <v>3953</v>
      </c>
      <c r="C127" s="16" t="inlineStr">
        <is>
          <t>Maxi</t>
        </is>
      </c>
      <c r="D127" s="17" t="n">
        <v>46076</v>
      </c>
      <c r="E127" s="16" t="inlineStr">
        <is>
          <t>MONCAR</t>
        </is>
      </c>
      <c r="F127" s="16" t="inlineStr">
        <is>
          <t>CC 101</t>
        </is>
      </c>
      <c r="G127" s="18" t="n">
        <v>5</v>
      </c>
      <c r="H127" s="16" t="inlineStr">
        <is>
          <t>AYL MAQUINAS</t>
        </is>
      </c>
      <c r="I127" s="19" t="n"/>
      <c r="J127" s="18">
        <f>IF(TRIM(F127)="","",IF(LEFT(TRIM(F127),2)="RM",IFERROR(IF(D127&gt;=DATE(2026,4,1),INDEX('LP RMH'!$F:$F,MATCH(TRIM(F127),'LP RMH'!$A:$A,0)),INDEX('LP RMH'!$E:$E,MATCH(TRIM(F127),'LP RMH'!$A:$A,0))),0),IFERROR(INDEX('LP MONCAR'!$E:$E,MATCH(TRIM(F127),'LP MONCAR'!$A:$A,0)),0)))</f>
        <v/>
      </c>
      <c r="K127" s="18" t="n">
        <v>55400</v>
      </c>
      <c r="L127" s="16" t="inlineStr">
        <is>
          <t>2026-02</t>
        </is>
      </c>
      <c r="M127" s="16" t="n"/>
      <c r="N127" s="20" t="n"/>
      <c r="O127" s="18" t="n"/>
      <c r="P127" s="16" t="inlineStr">
        <is>
          <t>COBREADOS</t>
        </is>
      </c>
      <c r="Q127" s="16" t="inlineStr">
        <is>
          <t>FERRETERIA</t>
        </is>
      </c>
      <c r="R127" s="16" t="n"/>
      <c r="S127" s="16" t="n"/>
      <c r="T127" s="16" t="n"/>
      <c r="U127" s="16" t="n"/>
    </row>
    <row r="128">
      <c r="A128" s="37" t="n"/>
      <c r="B128" s="16" t="n">
        <v>3953</v>
      </c>
      <c r="C128" s="16" t="inlineStr">
        <is>
          <t>Maxi</t>
        </is>
      </c>
      <c r="D128" s="17" t="n">
        <v>46076</v>
      </c>
      <c r="E128" s="16" t="inlineStr">
        <is>
          <t>MONCAR</t>
        </is>
      </c>
      <c r="F128" s="16" t="inlineStr">
        <is>
          <t>CC 102</t>
        </is>
      </c>
      <c r="G128" s="18" t="n">
        <v>5</v>
      </c>
      <c r="H128" s="16" t="inlineStr">
        <is>
          <t>AYL MAQUINAS</t>
        </is>
      </c>
      <c r="I128" s="19" t="n"/>
      <c r="J128" s="18">
        <f>IF(TRIM(F128)="","",IF(LEFT(TRIM(F128),2)="RM",IFERROR(IF(D128&gt;=DATE(2026,4,1),INDEX('LP RMH'!$F:$F,MATCH(TRIM(F128),'LP RMH'!$A:$A,0)),INDEX('LP RMH'!$E:$E,MATCH(TRIM(F128),'LP RMH'!$A:$A,0))),0),IFERROR(INDEX('LP MONCAR'!$E:$E,MATCH(TRIM(F128),'LP MONCAR'!$A:$A,0)),0)))</f>
        <v/>
      </c>
      <c r="K128" s="18" t="n">
        <v>43650</v>
      </c>
      <c r="L128" s="16" t="inlineStr">
        <is>
          <t>2026-02</t>
        </is>
      </c>
      <c r="M128" s="16" t="n"/>
      <c r="N128" s="20" t="n"/>
      <c r="O128" s="18" t="n"/>
      <c r="P128" s="16" t="inlineStr">
        <is>
          <t>COBREADOS</t>
        </is>
      </c>
      <c r="Q128" s="16" t="inlineStr">
        <is>
          <t>FERRETERIA</t>
        </is>
      </c>
      <c r="R128" s="16" t="n"/>
      <c r="S128" s="16" t="n"/>
      <c r="T128" s="16" t="n"/>
      <c r="U128" s="16" t="n"/>
    </row>
    <row r="129">
      <c r="A129" s="37" t="n"/>
      <c r="B129" s="16" t="n">
        <v>3953</v>
      </c>
      <c r="C129" s="16" t="inlineStr">
        <is>
          <t>Maxi</t>
        </is>
      </c>
      <c r="D129" s="17" t="n">
        <v>46076</v>
      </c>
      <c r="E129" s="16" t="inlineStr">
        <is>
          <t>MONCAR</t>
        </is>
      </c>
      <c r="F129" s="16" t="inlineStr">
        <is>
          <t>CE 001</t>
        </is>
      </c>
      <c r="G129" s="18" t="n">
        <v>5</v>
      </c>
      <c r="H129" s="16" t="inlineStr">
        <is>
          <t>AYL MAQUINAS</t>
        </is>
      </c>
      <c r="I129" s="19" t="n"/>
      <c r="J129" s="18">
        <f>IF(TRIM(F129)="","",IF(LEFT(TRIM(F129),2)="RM",IFERROR(IF(D129&gt;=DATE(2026,4,1),INDEX('LP RMH'!$F:$F,MATCH(TRIM(F129),'LP RMH'!$A:$A,0)),INDEX('LP RMH'!$E:$E,MATCH(TRIM(F129),'LP RMH'!$A:$A,0))),0),IFERROR(INDEX('LP MONCAR'!$E:$E,MATCH(TRIM(F129),'LP MONCAR'!$A:$A,0)),0)))</f>
        <v/>
      </c>
      <c r="K129" s="18" t="n">
        <v>28050</v>
      </c>
      <c r="L129" s="16" t="inlineStr">
        <is>
          <t>2026-02</t>
        </is>
      </c>
      <c r="M129" s="16" t="n"/>
      <c r="N129" s="20" t="n">
        <v>4477.455</v>
      </c>
      <c r="O129" s="18" t="n">
        <v>23572.545</v>
      </c>
      <c r="P129" s="16" t="inlineStr">
        <is>
          <t>ASPIRADORA</t>
        </is>
      </c>
      <c r="Q129" s="16" t="inlineStr">
        <is>
          <t>FERRETERIA</t>
        </is>
      </c>
      <c r="R129" s="16" t="n"/>
      <c r="S129" s="16" t="n"/>
      <c r="T129" s="16" t="n"/>
      <c r="U129" s="16" t="n"/>
    </row>
    <row r="130">
      <c r="A130" s="37" t="n"/>
      <c r="B130" s="16" t="n">
        <v>3953</v>
      </c>
      <c r="C130" s="16" t="inlineStr">
        <is>
          <t>Maxi</t>
        </is>
      </c>
      <c r="D130" s="17" t="n">
        <v>46076</v>
      </c>
      <c r="E130" s="16" t="inlineStr">
        <is>
          <t>MONCAR</t>
        </is>
      </c>
      <c r="F130" s="16" t="inlineStr">
        <is>
          <t>CE 023</t>
        </is>
      </c>
      <c r="G130" s="18" t="n">
        <v>5</v>
      </c>
      <c r="H130" s="16" t="inlineStr">
        <is>
          <t>AYL MAQUINAS</t>
        </is>
      </c>
      <c r="I130" s="19" t="n"/>
      <c r="J130" s="18">
        <f>IF(TRIM(F130)="","",IF(LEFT(TRIM(F130),2)="RM",IFERROR(IF(D130&gt;=DATE(2026,4,1),INDEX('LP RMH'!$F:$F,MATCH(TRIM(F130),'LP RMH'!$A:$A,0)),INDEX('LP RMH'!$E:$E,MATCH(TRIM(F130),'LP RMH'!$A:$A,0))),0),IFERROR(INDEX('LP MONCAR'!$E:$E,MATCH(TRIM(F130),'LP MONCAR'!$A:$A,0)),0)))</f>
        <v/>
      </c>
      <c r="K130" s="18" t="n">
        <v>23950</v>
      </c>
      <c r="L130" s="16" t="inlineStr">
        <is>
          <t>2026-02</t>
        </is>
      </c>
      <c r="M130" s="16" t="n"/>
      <c r="N130" s="20" t="n">
        <v>3283.467</v>
      </c>
      <c r="O130" s="18" t="n">
        <v>20666.533</v>
      </c>
      <c r="P130" s="16" t="inlineStr">
        <is>
          <t>ENCERADORA</t>
        </is>
      </c>
      <c r="Q130" s="16" t="inlineStr">
        <is>
          <t>FERRETERIA</t>
        </is>
      </c>
      <c r="R130" s="16" t="n"/>
      <c r="S130" s="16" t="n"/>
      <c r="T130" s="16" t="n"/>
      <c r="U130" s="16" t="n"/>
    </row>
    <row r="131">
      <c r="A131" s="37" t="n"/>
      <c r="B131" s="16" t="n">
        <v>3953</v>
      </c>
      <c r="C131" s="16" t="inlineStr">
        <is>
          <t>Maxi</t>
        </is>
      </c>
      <c r="D131" s="17" t="n">
        <v>46076</v>
      </c>
      <c r="E131" s="16" t="inlineStr">
        <is>
          <t>MONCAR</t>
        </is>
      </c>
      <c r="F131" s="16" t="inlineStr">
        <is>
          <t>CE 309</t>
        </is>
      </c>
      <c r="G131" s="18" t="n">
        <v>5</v>
      </c>
      <c r="H131" s="16" t="inlineStr">
        <is>
          <t>AYL MAQUINAS</t>
        </is>
      </c>
      <c r="I131" s="19" t="n"/>
      <c r="J131" s="18">
        <f>IF(TRIM(F131)="","",IF(LEFT(TRIM(F131),2)="RM",IFERROR(IF(D131&gt;=DATE(2026,4,1),INDEX('LP RMH'!$F:$F,MATCH(TRIM(F131),'LP RMH'!$A:$A,0)),INDEX('LP RMH'!$E:$E,MATCH(TRIM(F131),'LP RMH'!$A:$A,0))),0),IFERROR(INDEX('LP MONCAR'!$E:$E,MATCH(TRIM(F131),'LP MONCAR'!$A:$A,0)),0)))</f>
        <v/>
      </c>
      <c r="K131" s="18" t="n">
        <v>27800</v>
      </c>
      <c r="L131" s="16" t="inlineStr">
        <is>
          <t>2026-02</t>
        </is>
      </c>
      <c r="M131" s="16" t="n"/>
      <c r="N131" s="20" t="n"/>
      <c r="O131" s="18" t="n"/>
      <c r="P131" s="16" t="inlineStr">
        <is>
          <t>HIDROLAVADORA</t>
        </is>
      </c>
      <c r="Q131" s="16" t="inlineStr">
        <is>
          <t>FERRETERIA</t>
        </is>
      </c>
      <c r="R131" s="16" t="n"/>
      <c r="S131" s="16" t="n"/>
      <c r="T131" s="16" t="n"/>
      <c r="U131" s="16" t="n"/>
    </row>
    <row r="132">
      <c r="A132" s="37" t="n"/>
      <c r="B132" s="16" t="n">
        <v>3953</v>
      </c>
      <c r="C132" s="16" t="inlineStr">
        <is>
          <t>Maxi</t>
        </is>
      </c>
      <c r="D132" s="17" t="n">
        <v>46076</v>
      </c>
      <c r="E132" s="16" t="inlineStr">
        <is>
          <t>MONCAR</t>
        </is>
      </c>
      <c r="F132" s="16" t="inlineStr">
        <is>
          <t>CF 730</t>
        </is>
      </c>
      <c r="G132" s="18" t="n">
        <v>5</v>
      </c>
      <c r="H132" s="16" t="inlineStr">
        <is>
          <t>AYL MAQUINAS</t>
        </is>
      </c>
      <c r="I132" s="19" t="n"/>
      <c r="J132" s="18">
        <f>IF(TRIM(F132)="","",IF(LEFT(TRIM(F132),2)="RM",IFERROR(IF(D132&gt;=DATE(2026,4,1),INDEX('LP RMH'!$F:$F,MATCH(TRIM(F132),'LP RMH'!$A:$A,0)),INDEX('LP RMH'!$E:$E,MATCH(TRIM(F132),'LP RMH'!$A:$A,0))),0),IFERROR(INDEX('LP MONCAR'!$E:$E,MATCH(TRIM(F132),'LP MONCAR'!$A:$A,0)),0)))</f>
        <v/>
      </c>
      <c r="K132" s="18" t="n">
        <v>18500</v>
      </c>
      <c r="L132" s="16" t="inlineStr">
        <is>
          <t>2026-02</t>
        </is>
      </c>
      <c r="M132" s="16" t="n"/>
      <c r="N132" s="20" t="n"/>
      <c r="O132" s="18" t="n"/>
      <c r="P132" s="16" t="inlineStr">
        <is>
          <t>EINHELL</t>
        </is>
      </c>
      <c r="Q132" s="16" t="inlineStr">
        <is>
          <t>FERRETERIA</t>
        </is>
      </c>
      <c r="R132" s="16" t="n"/>
      <c r="S132" s="16" t="n"/>
      <c r="T132" s="16" t="n"/>
      <c r="U132" s="16" t="n"/>
    </row>
    <row r="133">
      <c r="A133" s="37" t="n"/>
      <c r="B133" s="16" t="n">
        <v>1222</v>
      </c>
      <c r="C133" s="16" t="inlineStr">
        <is>
          <t>Maxi</t>
        </is>
      </c>
      <c r="D133" s="17" t="n">
        <v>46084</v>
      </c>
      <c r="E133" s="16" t="inlineStr">
        <is>
          <t>MONCAR</t>
        </is>
      </c>
      <c r="F133" s="16" t="inlineStr">
        <is>
          <t>CF 917</t>
        </is>
      </c>
      <c r="G133" s="18" t="n">
        <v>10</v>
      </c>
      <c r="H133" s="16" t="inlineStr">
        <is>
          <t>AYL MAQUINAS</t>
        </is>
      </c>
      <c r="I133" s="19" t="n"/>
      <c r="J133" s="18">
        <f>IF(TRIM(F133)="","",IF(LEFT(TRIM(F133),2)="RM",IFERROR(IF(D133&gt;=DATE(2026,4,1),INDEX('LP RMH'!$F:$F,MATCH(TRIM(F133),'LP RMH'!$A:$A,0)),INDEX('LP RMH'!$E:$E,MATCH(TRIM(F133),'LP RMH'!$A:$A,0))),0),IFERROR(INDEX('LP MONCAR'!$E:$E,MATCH(TRIM(F133),'LP MONCAR'!$A:$A,0)),0)))</f>
        <v/>
      </c>
      <c r="K133" s="18" t="n">
        <v>36600</v>
      </c>
      <c r="L133" s="16" t="inlineStr">
        <is>
          <t>2026-03</t>
        </is>
      </c>
      <c r="M133" s="16" t="n"/>
      <c r="N133" s="20" t="n">
        <v>4775.952</v>
      </c>
      <c r="O133" s="18" t="n">
        <v>31824.048</v>
      </c>
      <c r="P133" s="16" t="inlineStr">
        <is>
          <t>BOSCH</t>
        </is>
      </c>
      <c r="Q133" s="16" t="inlineStr">
        <is>
          <t>FERRETERIA</t>
        </is>
      </c>
      <c r="R133" s="16" t="n"/>
      <c r="S133" s="16" t="n"/>
      <c r="T133" s="16" t="n"/>
      <c r="U133" s="16" t="n"/>
    </row>
    <row r="134">
      <c r="A134" s="37" t="n"/>
      <c r="B134" s="16" t="n">
        <v>1222</v>
      </c>
      <c r="C134" s="16" t="inlineStr">
        <is>
          <t>Maxi</t>
        </is>
      </c>
      <c r="D134" s="17" t="n">
        <v>46084</v>
      </c>
      <c r="E134" s="16" t="inlineStr">
        <is>
          <t>MONCAR</t>
        </is>
      </c>
      <c r="F134" s="16" t="inlineStr">
        <is>
          <t>CF 194</t>
        </is>
      </c>
      <c r="G134" s="18" t="n">
        <v>5</v>
      </c>
      <c r="H134" s="16" t="inlineStr">
        <is>
          <t>AYL MAQUINAS</t>
        </is>
      </c>
      <c r="I134" s="19" t="n"/>
      <c r="J134" s="18">
        <f>IF(TRIM(F134)="","",IF(LEFT(TRIM(F134),2)="RM",IFERROR(IF(D134&gt;=DATE(2026,4,1),INDEX('LP RMH'!$F:$F,MATCH(TRIM(F134),'LP RMH'!$A:$A,0)),INDEX('LP RMH'!$E:$E,MATCH(TRIM(F134),'LP RMH'!$A:$A,0))),0),IFERROR(INDEX('LP MONCAR'!$E:$E,MATCH(TRIM(F134),'LP MONCAR'!$A:$A,0)),0)))</f>
        <v/>
      </c>
      <c r="K134" s="18" t="n">
        <v>22200</v>
      </c>
      <c r="L134" s="16" t="inlineStr">
        <is>
          <t>2026-03</t>
        </is>
      </c>
      <c r="M134" s="16" t="n"/>
      <c r="N134" s="20" t="n">
        <v>3283.467</v>
      </c>
      <c r="O134" s="18" t="n">
        <v>18916.533</v>
      </c>
      <c r="P134" s="16" t="inlineStr">
        <is>
          <t>DE WALT</t>
        </is>
      </c>
      <c r="Q134" s="16" t="inlineStr">
        <is>
          <t>FERRETERIA</t>
        </is>
      </c>
      <c r="R134" s="16" t="n"/>
      <c r="S134" s="16" t="n"/>
      <c r="T134" s="16" t="n"/>
      <c r="U134" s="16" t="n"/>
    </row>
    <row r="135">
      <c r="A135" s="37" t="n"/>
      <c r="B135" s="16" t="n">
        <v>1222</v>
      </c>
      <c r="C135" s="16" t="inlineStr">
        <is>
          <t>Maxi</t>
        </is>
      </c>
      <c r="D135" s="17" t="n">
        <v>46084</v>
      </c>
      <c r="E135" s="16" t="inlineStr">
        <is>
          <t>MONCAR</t>
        </is>
      </c>
      <c r="F135" s="16" t="inlineStr">
        <is>
          <t>CF 033</t>
        </is>
      </c>
      <c r="G135" s="18" t="n">
        <v>5</v>
      </c>
      <c r="H135" s="16" t="inlineStr">
        <is>
          <t>AYL MAQUINAS</t>
        </is>
      </c>
      <c r="I135" s="19" t="n"/>
      <c r="J135" s="18">
        <f>IF(TRIM(F135)="","",IF(LEFT(TRIM(F135),2)="RM",IFERROR(IF(D135&gt;=DATE(2026,4,1),INDEX('LP RMH'!$F:$F,MATCH(TRIM(F135),'LP RMH'!$A:$A,0)),INDEX('LP RMH'!$E:$E,MATCH(TRIM(F135),'LP RMH'!$A:$A,0))),0),IFERROR(INDEX('LP MONCAR'!$E:$E,MATCH(TRIM(F135),'LP MONCAR'!$A:$A,0)),0)))</f>
        <v/>
      </c>
      <c r="K135" s="18" t="n">
        <v>19250</v>
      </c>
      <c r="L135" s="16" t="inlineStr">
        <is>
          <t>2026-03</t>
        </is>
      </c>
      <c r="M135" s="16" t="n"/>
      <c r="N135" s="20" t="n"/>
      <c r="O135" s="18" t="n"/>
      <c r="P135" s="16" t="inlineStr">
        <is>
          <t>DREMEL</t>
        </is>
      </c>
      <c r="Q135" s="16" t="inlineStr">
        <is>
          <t>FERRETERIA</t>
        </is>
      </c>
      <c r="R135" s="16" t="n"/>
      <c r="S135" s="16" t="n"/>
      <c r="T135" s="16" t="n"/>
      <c r="U135" s="16" t="n"/>
    </row>
    <row r="136">
      <c r="A136" s="37" t="n"/>
      <c r="B136" s="16" t="n">
        <v>1222</v>
      </c>
      <c r="C136" s="16" t="inlineStr">
        <is>
          <t>Maxi</t>
        </is>
      </c>
      <c r="D136" s="17" t="n">
        <v>46084</v>
      </c>
      <c r="E136" s="16" t="inlineStr">
        <is>
          <t>MONCAR</t>
        </is>
      </c>
      <c r="F136" s="16" t="inlineStr">
        <is>
          <t>CF 756</t>
        </is>
      </c>
      <c r="G136" s="18" t="n">
        <v>10</v>
      </c>
      <c r="H136" s="16" t="inlineStr">
        <is>
          <t>AYL MAQUINAS</t>
        </is>
      </c>
      <c r="I136" s="19" t="n"/>
      <c r="J136" s="18">
        <f>IF(TRIM(F136)="","",IF(LEFT(TRIM(F136),2)="RM",IFERROR(IF(D136&gt;=DATE(2026,4,1),INDEX('LP RMH'!$F:$F,MATCH(TRIM(F136),'LP RMH'!$A:$A,0)),INDEX('LP RMH'!$E:$E,MATCH(TRIM(F136),'LP RMH'!$A:$A,0))),0),IFERROR(INDEX('LP MONCAR'!$E:$E,MATCH(TRIM(F136),'LP MONCAR'!$A:$A,0)),0)))</f>
        <v/>
      </c>
      <c r="K136" s="18" t="n">
        <v>38600</v>
      </c>
      <c r="L136" s="16" t="inlineStr">
        <is>
          <t>2026-03</t>
        </is>
      </c>
      <c r="M136" s="16" t="n"/>
      <c r="N136" s="20" t="n">
        <v>4775.952</v>
      </c>
      <c r="O136" s="18" t="n">
        <v>33824.048</v>
      </c>
      <c r="P136" s="16" t="inlineStr">
        <is>
          <t>DOWEN PAGGIO</t>
        </is>
      </c>
      <c r="Q136" s="16" t="inlineStr">
        <is>
          <t>FERRETERIA</t>
        </is>
      </c>
      <c r="R136" s="16" t="n"/>
      <c r="S136" s="16" t="n"/>
      <c r="T136" s="16" t="n"/>
      <c r="U136" s="16" t="n"/>
    </row>
    <row r="137">
      <c r="A137" s="37" t="n"/>
      <c r="B137" s="16" t="n">
        <v>1222</v>
      </c>
      <c r="C137" s="16" t="inlineStr">
        <is>
          <t>Maxi</t>
        </is>
      </c>
      <c r="D137" s="17" t="n">
        <v>46084</v>
      </c>
      <c r="E137" s="16" t="inlineStr">
        <is>
          <t>MONCAR</t>
        </is>
      </c>
      <c r="F137" s="16" t="inlineStr">
        <is>
          <t>CF 765</t>
        </is>
      </c>
      <c r="G137" s="18" t="n">
        <v>10</v>
      </c>
      <c r="H137" s="16" t="inlineStr">
        <is>
          <t>AYL MAQUINAS</t>
        </is>
      </c>
      <c r="I137" s="19" t="n"/>
      <c r="J137" s="18">
        <f>IF(TRIM(F137)="","",IF(LEFT(TRIM(F137),2)="RM",IFERROR(IF(D137&gt;=DATE(2026,4,1),INDEX('LP RMH'!$F:$F,MATCH(TRIM(F137),'LP RMH'!$A:$A,0)),INDEX('LP RMH'!$E:$E,MATCH(TRIM(F137),'LP RMH'!$A:$A,0))),0),IFERROR(INDEX('LP MONCAR'!$E:$E,MATCH(TRIM(F137),'LP MONCAR'!$A:$A,0)),0)))</f>
        <v/>
      </c>
      <c r="K137" s="18" t="n">
        <v>23000</v>
      </c>
      <c r="L137" s="16" t="inlineStr">
        <is>
          <t>2026-03</t>
        </is>
      </c>
      <c r="M137" s="16" t="n"/>
      <c r="N137" s="20" t="n">
        <v>2984.97</v>
      </c>
      <c r="O137" s="18" t="n">
        <v>20015.03</v>
      </c>
      <c r="P137" s="16" t="inlineStr">
        <is>
          <t>DOWEN PAGGIO</t>
        </is>
      </c>
      <c r="Q137" s="16" t="inlineStr">
        <is>
          <t>FERRETERIA</t>
        </is>
      </c>
      <c r="R137" s="16" t="n"/>
      <c r="S137" s="16" t="n"/>
      <c r="T137" s="16" t="n"/>
      <c r="U137" s="16" t="n"/>
    </row>
    <row r="138">
      <c r="A138" s="37" t="n"/>
      <c r="B138" s="16" t="n">
        <v>1222</v>
      </c>
      <c r="C138" s="16" t="inlineStr">
        <is>
          <t>Maxi</t>
        </is>
      </c>
      <c r="D138" s="17" t="n">
        <v>46084</v>
      </c>
      <c r="E138" s="16" t="inlineStr">
        <is>
          <t>MONCAR</t>
        </is>
      </c>
      <c r="F138" s="16" t="inlineStr">
        <is>
          <t>CF 055</t>
        </is>
      </c>
      <c r="G138" s="18" t="n">
        <v>10</v>
      </c>
      <c r="H138" s="16" t="inlineStr">
        <is>
          <t>AYL MAQUINAS</t>
        </is>
      </c>
      <c r="I138" s="19" t="n"/>
      <c r="J138" s="18">
        <f>IF(TRIM(F138)="","",IF(LEFT(TRIM(F138),2)="RM",IFERROR(IF(D138&gt;=DATE(2026,4,1),INDEX('LP RMH'!$F:$F,MATCH(TRIM(F138),'LP RMH'!$A:$A,0)),INDEX('LP RMH'!$E:$E,MATCH(TRIM(F138),'LP RMH'!$A:$A,0))),0),IFERROR(INDEX('LP MONCAR'!$E:$E,MATCH(TRIM(F138),'LP MONCAR'!$A:$A,0)),0)))</f>
        <v/>
      </c>
      <c r="K138" s="18" t="n">
        <v>47000</v>
      </c>
      <c r="L138" s="16" t="inlineStr">
        <is>
          <t>2026-03</t>
        </is>
      </c>
      <c r="M138" s="16" t="n"/>
      <c r="N138" s="20" t="n">
        <v>6865.431</v>
      </c>
      <c r="O138" s="18" t="n">
        <v>40134.569</v>
      </c>
      <c r="P138" s="16" t="inlineStr">
        <is>
          <t>MAKITA</t>
        </is>
      </c>
      <c r="Q138" s="16" t="inlineStr">
        <is>
          <t>FERRETERIA</t>
        </is>
      </c>
      <c r="R138" s="16" t="n"/>
      <c r="S138" s="16" t="n"/>
      <c r="T138" s="16" t="n"/>
      <c r="U138" s="16" t="n"/>
    </row>
    <row r="139">
      <c r="A139" s="37" t="n"/>
      <c r="B139" s="16" t="n">
        <v>1222</v>
      </c>
      <c r="C139" s="16" t="inlineStr">
        <is>
          <t>Maxi</t>
        </is>
      </c>
      <c r="D139" s="17" t="n">
        <v>46084</v>
      </c>
      <c r="E139" s="16" t="inlineStr">
        <is>
          <t>MONCAR</t>
        </is>
      </c>
      <c r="F139" s="16" t="inlineStr">
        <is>
          <t>CF 648</t>
        </is>
      </c>
      <c r="G139" s="18" t="n">
        <v>30</v>
      </c>
      <c r="H139" s="16" t="inlineStr">
        <is>
          <t>AYL MAQUINAS</t>
        </is>
      </c>
      <c r="I139" s="19" t="n"/>
      <c r="J139" s="18">
        <f>IF(TRIM(F139)="","",IF(LEFT(TRIM(F139),2)="RM",IFERROR(IF(D139&gt;=DATE(2026,4,1),INDEX('LP RMH'!$F:$F,MATCH(TRIM(F139),'LP RMH'!$A:$A,0)),INDEX('LP RMH'!$E:$E,MATCH(TRIM(F139),'LP RMH'!$A:$A,0))),0),IFERROR(INDEX('LP MONCAR'!$E:$E,MATCH(TRIM(F139),'LP MONCAR'!$A:$A,0)),0)))</f>
        <v/>
      </c>
      <c r="K139" s="18" t="n">
        <v>75900</v>
      </c>
      <c r="L139" s="16" t="inlineStr">
        <is>
          <t>2026-03</t>
        </is>
      </c>
      <c r="M139" s="16" t="n"/>
      <c r="N139" s="20" t="n"/>
      <c r="O139" s="18" t="n"/>
      <c r="P139" s="16" t="inlineStr">
        <is>
          <t>SKIL</t>
        </is>
      </c>
      <c r="Q139" s="16" t="inlineStr">
        <is>
          <t>FERRETERIA</t>
        </is>
      </c>
      <c r="R139" s="16" t="n"/>
      <c r="S139" s="16" t="n"/>
      <c r="T139" s="16" t="n"/>
      <c r="U139" s="16" t="n"/>
    </row>
    <row r="140">
      <c r="A140" s="37" t="n"/>
      <c r="B140" s="16" t="n">
        <v>1222</v>
      </c>
      <c r="C140" s="16" t="inlineStr">
        <is>
          <t>Maxi</t>
        </is>
      </c>
      <c r="D140" s="17" t="n">
        <v>46084</v>
      </c>
      <c r="E140" s="16" t="inlineStr">
        <is>
          <t>MONCAR</t>
        </is>
      </c>
      <c r="F140" s="16" t="inlineStr">
        <is>
          <t>CF 658</t>
        </is>
      </c>
      <c r="G140" s="18" t="n">
        <v>10</v>
      </c>
      <c r="H140" s="16" t="inlineStr">
        <is>
          <t>AYL MAQUINAS</t>
        </is>
      </c>
      <c r="I140" s="19" t="n"/>
      <c r="J140" s="18">
        <f>IF(TRIM(F140)="","",IF(LEFT(TRIM(F140),2)="RM",IFERROR(IF(D140&gt;=DATE(2026,4,1),INDEX('LP RMH'!$F:$F,MATCH(TRIM(F140),'LP RMH'!$A:$A,0)),INDEX('LP RMH'!$E:$E,MATCH(TRIM(F140),'LP RMH'!$A:$A,0))),0),IFERROR(INDEX('LP MONCAR'!$E:$E,MATCH(TRIM(F140),'LP MONCAR'!$A:$A,0)),0)))</f>
        <v/>
      </c>
      <c r="K140" s="18" t="n">
        <v>25300</v>
      </c>
      <c r="L140" s="16" t="inlineStr">
        <is>
          <t>2026-03</t>
        </is>
      </c>
      <c r="M140" s="16" t="n"/>
      <c r="N140" s="20" t="n">
        <v>3283.467</v>
      </c>
      <c r="O140" s="18" t="n">
        <v>22016.533</v>
      </c>
      <c r="P140" s="16" t="inlineStr">
        <is>
          <t>SKIL</t>
        </is>
      </c>
      <c r="Q140" s="16" t="inlineStr">
        <is>
          <t>FERRETERIA</t>
        </is>
      </c>
      <c r="R140" s="16" t="n"/>
      <c r="S140" s="16" t="n"/>
      <c r="T140" s="16" t="n"/>
      <c r="U140" s="16" t="n"/>
    </row>
    <row r="141">
      <c r="A141" s="37" t="n"/>
      <c r="B141" s="16" t="n">
        <v>1222</v>
      </c>
      <c r="C141" s="16" t="inlineStr">
        <is>
          <t>Maxi</t>
        </is>
      </c>
      <c r="D141" s="17" t="n">
        <v>46084</v>
      </c>
      <c r="E141" s="16" t="inlineStr">
        <is>
          <t>MONCAR</t>
        </is>
      </c>
      <c r="F141" s="16" t="inlineStr">
        <is>
          <t>CE 001</t>
        </is>
      </c>
      <c r="G141" s="18" t="n">
        <v>5</v>
      </c>
      <c r="H141" s="16" t="inlineStr">
        <is>
          <t>AYL MAQUINAS</t>
        </is>
      </c>
      <c r="I141" s="19" t="n"/>
      <c r="J141" s="18">
        <f>IF(TRIM(F141)="","",IF(LEFT(TRIM(F141),2)="RM",IFERROR(IF(D141&gt;=DATE(2026,4,1),INDEX('LP RMH'!$F:$F,MATCH(TRIM(F141),'LP RMH'!$A:$A,0)),INDEX('LP RMH'!$E:$E,MATCH(TRIM(F141),'LP RMH'!$A:$A,0))),0),IFERROR(INDEX('LP MONCAR'!$E:$E,MATCH(TRIM(F141),'LP MONCAR'!$A:$A,0)),0)))</f>
        <v/>
      </c>
      <c r="K141" s="18" t="n">
        <v>28050</v>
      </c>
      <c r="L141" s="16" t="inlineStr">
        <is>
          <t>2026-03</t>
        </is>
      </c>
      <c r="M141" s="16" t="n"/>
      <c r="N141" s="20" t="n">
        <v>4477.455</v>
      </c>
      <c r="O141" s="18" t="n">
        <v>23572.545</v>
      </c>
      <c r="P141" s="16" t="inlineStr">
        <is>
          <t>ASPIRADORA</t>
        </is>
      </c>
      <c r="Q141" s="16" t="inlineStr">
        <is>
          <t>FERRETERIA</t>
        </is>
      </c>
      <c r="R141" s="16" t="n"/>
      <c r="S141" s="16" t="n"/>
      <c r="T141" s="16" t="n"/>
      <c r="U141" s="16" t="n"/>
    </row>
    <row r="142">
      <c r="A142" s="37" t="n"/>
      <c r="B142" s="16" t="n">
        <v>1222</v>
      </c>
      <c r="C142" s="16" t="inlineStr">
        <is>
          <t>Maxi</t>
        </is>
      </c>
      <c r="D142" s="17" t="n">
        <v>46084</v>
      </c>
      <c r="E142" s="16" t="inlineStr">
        <is>
          <t>MONCAR</t>
        </is>
      </c>
      <c r="F142" s="16" t="inlineStr">
        <is>
          <t>CE 044</t>
        </is>
      </c>
      <c r="G142" s="18" t="n">
        <v>10</v>
      </c>
      <c r="H142" s="16" t="inlineStr">
        <is>
          <t>AYL MAQUINAS</t>
        </is>
      </c>
      <c r="I142" s="19" t="n"/>
      <c r="J142" s="18">
        <f>IF(TRIM(F142)="","",IF(LEFT(TRIM(F142),2)="RM",IFERROR(IF(D142&gt;=DATE(2026,4,1),INDEX('LP RMH'!$F:$F,MATCH(TRIM(F142),'LP RMH'!$A:$A,0)),INDEX('LP RMH'!$E:$E,MATCH(TRIM(F142),'LP RMH'!$A:$A,0))),0),IFERROR(INDEX('LP MONCAR'!$E:$E,MATCH(TRIM(F142),'LP MONCAR'!$A:$A,0)),0)))</f>
        <v/>
      </c>
      <c r="K142" s="18" t="n">
        <v>23000</v>
      </c>
      <c r="L142" s="16" t="inlineStr">
        <is>
          <t>2026-03</t>
        </is>
      </c>
      <c r="M142" s="16" t="n"/>
      <c r="N142" s="20" t="n">
        <v>2686.473</v>
      </c>
      <c r="O142" s="18" t="n">
        <v>20313.527</v>
      </c>
      <c r="P142" s="16" t="inlineStr">
        <is>
          <t>BORDEADORA</t>
        </is>
      </c>
      <c r="Q142" s="16" t="inlineStr">
        <is>
          <t>FERRETERIA</t>
        </is>
      </c>
      <c r="R142" s="16" t="n"/>
      <c r="S142" s="16" t="n"/>
      <c r="T142" s="16" t="n"/>
      <c r="U142" s="16" t="n"/>
    </row>
    <row r="143">
      <c r="A143" s="37" t="n"/>
      <c r="B143" s="16" t="n">
        <v>1222</v>
      </c>
      <c r="C143" s="16" t="inlineStr">
        <is>
          <t>Maxi</t>
        </is>
      </c>
      <c r="D143" s="17" t="n">
        <v>46084</v>
      </c>
      <c r="E143" s="16" t="inlineStr">
        <is>
          <t>MONCAR</t>
        </is>
      </c>
      <c r="F143" s="16" t="inlineStr">
        <is>
          <t>CE 309</t>
        </is>
      </c>
      <c r="G143" s="18" t="n">
        <v>10</v>
      </c>
      <c r="H143" s="16" t="inlineStr">
        <is>
          <t>AYL MAQUINAS</t>
        </is>
      </c>
      <c r="I143" s="19" t="n"/>
      <c r="J143" s="18">
        <f>IF(TRIM(F143)="","",IF(LEFT(TRIM(F143),2)="RM",IFERROR(IF(D143&gt;=DATE(2026,4,1),INDEX('LP RMH'!$F:$F,MATCH(TRIM(F143),'LP RMH'!$A:$A,0)),INDEX('LP RMH'!$E:$E,MATCH(TRIM(F143),'LP RMH'!$A:$A,0))),0),IFERROR(INDEX('LP MONCAR'!$E:$E,MATCH(TRIM(F143),'LP MONCAR'!$A:$A,0)),0)))</f>
        <v/>
      </c>
      <c r="K143" s="18" t="n">
        <v>55600</v>
      </c>
      <c r="L143" s="16" t="inlineStr">
        <is>
          <t>2026-03</t>
        </is>
      </c>
      <c r="M143" s="16" t="n"/>
      <c r="N143" s="20" t="n"/>
      <c r="O143" s="18" t="n"/>
      <c r="P143" s="16" t="inlineStr">
        <is>
          <t>HIDROLAVADORA</t>
        </is>
      </c>
      <c r="Q143" s="16" t="inlineStr">
        <is>
          <t>FERRETERIA</t>
        </is>
      </c>
      <c r="R143" s="16" t="n"/>
      <c r="S143" s="16" t="n"/>
      <c r="T143" s="16" t="n"/>
      <c r="U143" s="16" t="n"/>
    </row>
    <row r="144">
      <c r="A144" s="37" t="n"/>
      <c r="B144" s="16" t="n">
        <v>1251</v>
      </c>
      <c r="C144" s="16" t="inlineStr">
        <is>
          <t>Maxi</t>
        </is>
      </c>
      <c r="D144" s="17" t="n">
        <v>46108</v>
      </c>
      <c r="E144" s="16" t="inlineStr">
        <is>
          <t>MONCAR</t>
        </is>
      </c>
      <c r="F144" s="16" t="inlineStr">
        <is>
          <t>CF 663</t>
        </is>
      </c>
      <c r="G144" s="18" t="n">
        <v>4</v>
      </c>
      <c r="H144" s="16" t="inlineStr">
        <is>
          <t>BURGOS</t>
        </is>
      </c>
      <c r="I144" s="19" t="n"/>
      <c r="J144" s="18">
        <f>IF(TRIM(F144)="","",IF(LEFT(TRIM(F144),2)="RM",IFERROR(IF(D144&gt;=DATE(2026,4,1),INDEX('LP RMH'!$F:$F,MATCH(TRIM(F144),'LP RMH'!$A:$A,0)),INDEX('LP RMH'!$E:$E,MATCH(TRIM(F144),'LP RMH'!$A:$A,0))),0),IFERROR(INDEX('LP MONCAR'!$E:$E,MATCH(TRIM(F144),'LP MONCAR'!$A:$A,0)),0)))</f>
        <v/>
      </c>
      <c r="K144" s="18" t="n">
        <v>19320</v>
      </c>
      <c r="L144" s="16" t="inlineStr">
        <is>
          <t>2026-03</t>
        </is>
      </c>
      <c r="M144" s="16" t="n"/>
      <c r="N144" s="20" t="n">
        <v>2746.1724</v>
      </c>
      <c r="O144" s="18" t="n">
        <v>16573.8276</v>
      </c>
      <c r="P144" s="16" t="inlineStr">
        <is>
          <t>BLACK Y DECKER</t>
        </is>
      </c>
      <c r="Q144" s="16" t="inlineStr">
        <is>
          <t>FERRETERIA</t>
        </is>
      </c>
      <c r="R144" s="16" t="n"/>
      <c r="S144" s="16" t="n"/>
      <c r="T144" s="16" t="n"/>
      <c r="U144" s="16" t="n"/>
    </row>
    <row r="145">
      <c r="A145" s="37" t="n"/>
      <c r="B145" s="16" t="n">
        <v>1251</v>
      </c>
      <c r="C145" s="16" t="inlineStr">
        <is>
          <t>Maxi</t>
        </is>
      </c>
      <c r="D145" s="17" t="n">
        <v>46108</v>
      </c>
      <c r="E145" s="16" t="inlineStr">
        <is>
          <t>MONCAR</t>
        </is>
      </c>
      <c r="F145" s="16" t="inlineStr">
        <is>
          <t>CF 672</t>
        </is>
      </c>
      <c r="G145" s="18" t="n">
        <v>5</v>
      </c>
      <c r="H145" s="16" t="inlineStr">
        <is>
          <t>BURGOS</t>
        </is>
      </c>
      <c r="I145" s="19" t="n"/>
      <c r="J145" s="18">
        <f>IF(TRIM(F145)="","",IF(LEFT(TRIM(F145),2)="RM",IFERROR(IF(D145&gt;=DATE(2026,4,1),INDEX('LP RMH'!$F:$F,MATCH(TRIM(F145),'LP RMH'!$A:$A,0)),INDEX('LP RMH'!$E:$E,MATCH(TRIM(F145),'LP RMH'!$A:$A,0))),0),IFERROR(INDEX('LP MONCAR'!$E:$E,MATCH(TRIM(F145),'LP MONCAR'!$A:$A,0)),0)))</f>
        <v/>
      </c>
      <c r="K145" s="18" t="n">
        <v>13850</v>
      </c>
      <c r="L145" s="16" t="inlineStr">
        <is>
          <t>2026-03</t>
        </is>
      </c>
      <c r="M145" s="16" t="n"/>
      <c r="N145" s="20" t="n">
        <v>1790.982</v>
      </c>
      <c r="O145" s="18" t="n">
        <v>12059.018</v>
      </c>
      <c r="P145" s="16" t="inlineStr">
        <is>
          <t>BLACK Y DECKER</t>
        </is>
      </c>
      <c r="Q145" s="16" t="inlineStr">
        <is>
          <t>FERRETERIA</t>
        </is>
      </c>
      <c r="R145" s="16" t="n"/>
      <c r="S145" s="16" t="n"/>
      <c r="T145" s="16" t="n"/>
      <c r="U145" s="16" t="n"/>
    </row>
    <row r="146">
      <c r="A146" s="37" t="n"/>
      <c r="B146" s="16" t="n">
        <v>1251</v>
      </c>
      <c r="C146" s="16" t="inlineStr">
        <is>
          <t>Maxi</t>
        </is>
      </c>
      <c r="D146" s="17" t="n">
        <v>46108</v>
      </c>
      <c r="E146" s="16" t="inlineStr">
        <is>
          <t>MONCAR</t>
        </is>
      </c>
      <c r="F146" s="16" t="inlineStr">
        <is>
          <t>CF 674</t>
        </is>
      </c>
      <c r="G146" s="18" t="n">
        <v>20</v>
      </c>
      <c r="H146" s="16" t="inlineStr">
        <is>
          <t>BURGOS</t>
        </is>
      </c>
      <c r="I146" s="19" t="n"/>
      <c r="J146" s="18">
        <f>IF(TRIM(F146)="","",IF(LEFT(TRIM(F146),2)="RM",IFERROR(IF(D146&gt;=DATE(2026,4,1),INDEX('LP RMH'!$F:$F,MATCH(TRIM(F146),'LP RMH'!$A:$A,0)),INDEX('LP RMH'!$E:$E,MATCH(TRIM(F146),'LP RMH'!$A:$A,0))),0),IFERROR(INDEX('LP MONCAR'!$E:$E,MATCH(TRIM(F146),'LP MONCAR'!$A:$A,0)),0)))</f>
        <v/>
      </c>
      <c r="K146" s="18" t="n">
        <v>46000</v>
      </c>
      <c r="L146" s="16" t="inlineStr">
        <is>
          <t>2026-03</t>
        </is>
      </c>
      <c r="M146" s="16" t="n"/>
      <c r="N146" s="20" t="n">
        <v>5969.940000000001</v>
      </c>
      <c r="O146" s="18" t="n">
        <v>40030.06</v>
      </c>
      <c r="P146" s="16" t="inlineStr">
        <is>
          <t>BLACK Y DECKER</t>
        </is>
      </c>
      <c r="Q146" s="16" t="inlineStr">
        <is>
          <t>FERRETERIA</t>
        </is>
      </c>
      <c r="R146" s="16" t="n"/>
      <c r="S146" s="16" t="n"/>
      <c r="T146" s="16" t="n"/>
      <c r="U146" s="16" t="n"/>
    </row>
    <row r="147">
      <c r="A147" s="37" t="n"/>
      <c r="B147" s="16" t="n">
        <v>1251</v>
      </c>
      <c r="C147" s="16" t="inlineStr">
        <is>
          <t>Maxi</t>
        </is>
      </c>
      <c r="D147" s="17" t="n">
        <v>46108</v>
      </c>
      <c r="E147" s="16" t="inlineStr">
        <is>
          <t>MONCAR</t>
        </is>
      </c>
      <c r="F147" s="16" t="inlineStr">
        <is>
          <t>CF 675</t>
        </is>
      </c>
      <c r="G147" s="18" t="n">
        <v>10</v>
      </c>
      <c r="H147" s="16" t="inlineStr">
        <is>
          <t>BURGOS</t>
        </is>
      </c>
      <c r="I147" s="19" t="n"/>
      <c r="J147" s="18">
        <f>IF(TRIM(F147)="","",IF(LEFT(TRIM(F147),2)="RM",IFERROR(IF(D147&gt;=DATE(2026,4,1),INDEX('LP RMH'!$F:$F,MATCH(TRIM(F147),'LP RMH'!$A:$A,0)),INDEX('LP RMH'!$E:$E,MATCH(TRIM(F147),'LP RMH'!$A:$A,0))),0),IFERROR(INDEX('LP MONCAR'!$E:$E,MATCH(TRIM(F147),'LP MONCAR'!$A:$A,0)),0)))</f>
        <v/>
      </c>
      <c r="K147" s="18" t="n">
        <v>34200</v>
      </c>
      <c r="L147" s="16" t="inlineStr">
        <is>
          <t>2026-03</t>
        </is>
      </c>
      <c r="M147" s="16" t="n"/>
      <c r="N147" s="20" t="n">
        <v>4477.455</v>
      </c>
      <c r="O147" s="18" t="n">
        <v>29722.545</v>
      </c>
      <c r="P147" s="16" t="inlineStr">
        <is>
          <t>BLACK Y DECKER</t>
        </is>
      </c>
      <c r="Q147" s="16" t="inlineStr">
        <is>
          <t>FERRETERIA</t>
        </is>
      </c>
      <c r="R147" s="16" t="n"/>
      <c r="S147" s="16" t="n"/>
      <c r="T147" s="16" t="n"/>
      <c r="U147" s="16" t="n"/>
    </row>
    <row r="148">
      <c r="A148" s="37" t="n"/>
      <c r="B148" s="16" t="n">
        <v>1251</v>
      </c>
      <c r="C148" s="16" t="inlineStr">
        <is>
          <t>Maxi</t>
        </is>
      </c>
      <c r="D148" s="17" t="n">
        <v>46108</v>
      </c>
      <c r="E148" s="16" t="inlineStr">
        <is>
          <t>MONCAR</t>
        </is>
      </c>
      <c r="F148" s="16" t="inlineStr">
        <is>
          <t>CF 020</t>
        </is>
      </c>
      <c r="G148" s="18" t="n">
        <v>20</v>
      </c>
      <c r="H148" s="16" t="inlineStr">
        <is>
          <t>BURGOS</t>
        </is>
      </c>
      <c r="I148" s="19" t="n"/>
      <c r="J148" s="18">
        <f>IF(TRIM(F148)="","",IF(LEFT(TRIM(F148),2)="RM",IFERROR(IF(D148&gt;=DATE(2026,4,1),INDEX('LP RMH'!$F:$F,MATCH(TRIM(F148),'LP RMH'!$A:$A,0)),INDEX('LP RMH'!$E:$E,MATCH(TRIM(F148),'LP RMH'!$A:$A,0))),0),IFERROR(INDEX('LP MONCAR'!$E:$E,MATCH(TRIM(F148),'LP MONCAR'!$A:$A,0)),0)))</f>
        <v/>
      </c>
      <c r="K148" s="18" t="n">
        <v>102600</v>
      </c>
      <c r="L148" s="16" t="inlineStr">
        <is>
          <t>2026-03</t>
        </is>
      </c>
      <c r="M148" s="16" t="n"/>
      <c r="N148" s="20" t="n">
        <v>13730.862</v>
      </c>
      <c r="O148" s="18" t="n">
        <v>88869.13800000001</v>
      </c>
      <c r="P148" s="16" t="inlineStr">
        <is>
          <t>BOSCH</t>
        </is>
      </c>
      <c r="Q148" s="16" t="inlineStr">
        <is>
          <t>FERRETERIA</t>
        </is>
      </c>
      <c r="R148" s="16" t="n"/>
      <c r="S148" s="16" t="n"/>
      <c r="T148" s="16" t="n"/>
      <c r="U148" s="16" t="n"/>
    </row>
    <row r="149">
      <c r="A149" s="37" t="n"/>
      <c r="B149" s="16" t="n">
        <v>1251</v>
      </c>
      <c r="C149" s="16" t="inlineStr">
        <is>
          <t>Maxi</t>
        </is>
      </c>
      <c r="D149" s="17" t="n">
        <v>46108</v>
      </c>
      <c r="E149" s="16" t="inlineStr">
        <is>
          <t>MONCAR</t>
        </is>
      </c>
      <c r="F149" s="16" t="inlineStr">
        <is>
          <t>CF 180</t>
        </is>
      </c>
      <c r="G149" s="18" t="n">
        <v>5</v>
      </c>
      <c r="H149" s="16" t="inlineStr">
        <is>
          <t>BURGOS</t>
        </is>
      </c>
      <c r="I149" s="19" t="n"/>
      <c r="J149" s="18">
        <f>IF(TRIM(F149)="","",IF(LEFT(TRIM(F149),2)="RM",IFERROR(IF(D149&gt;=DATE(2026,4,1),INDEX('LP RMH'!$F:$F,MATCH(TRIM(F149),'LP RMH'!$A:$A,0)),INDEX('LP RMH'!$E:$E,MATCH(TRIM(F149),'LP RMH'!$A:$A,0))),0),IFERROR(INDEX('LP MONCAR'!$E:$E,MATCH(TRIM(F149),'LP MONCAR'!$A:$A,0)),0)))</f>
        <v/>
      </c>
      <c r="K149" s="18" t="n">
        <v>20700</v>
      </c>
      <c r="L149" s="16" t="inlineStr">
        <is>
          <t>2026-03</t>
        </is>
      </c>
      <c r="M149" s="16" t="n"/>
      <c r="N149" s="20" t="n">
        <v>2686.473</v>
      </c>
      <c r="O149" s="18" t="n">
        <v>18013.527</v>
      </c>
      <c r="P149" s="16" t="inlineStr">
        <is>
          <t>DE WALT</t>
        </is>
      </c>
      <c r="Q149" s="16" t="inlineStr">
        <is>
          <t>FERRETERIA</t>
        </is>
      </c>
      <c r="R149" s="16" t="n"/>
      <c r="S149" s="16" t="n"/>
      <c r="T149" s="16" t="n"/>
      <c r="U149" s="16" t="n"/>
    </row>
    <row r="150">
      <c r="A150" s="37" t="n"/>
      <c r="B150" s="16" t="n">
        <v>1251</v>
      </c>
      <c r="C150" s="16" t="inlineStr">
        <is>
          <t>Maxi</t>
        </is>
      </c>
      <c r="D150" s="17" t="n">
        <v>46108</v>
      </c>
      <c r="E150" s="16" t="inlineStr">
        <is>
          <t>MONCAR</t>
        </is>
      </c>
      <c r="F150" s="16" t="inlineStr">
        <is>
          <t>CF 183</t>
        </is>
      </c>
      <c r="G150" s="18" t="n">
        <v>6</v>
      </c>
      <c r="H150" s="16" t="inlineStr">
        <is>
          <t>BURGOS</t>
        </is>
      </c>
      <c r="I150" s="19" t="n"/>
      <c r="J150" s="18">
        <f>IF(TRIM(F150)="","",IF(LEFT(TRIM(F150),2)="RM",IFERROR(IF(D150&gt;=DATE(2026,4,1),INDEX('LP RMH'!$F:$F,MATCH(TRIM(F150),'LP RMH'!$A:$A,0)),INDEX('LP RMH'!$E:$E,MATCH(TRIM(F150),'LP RMH'!$A:$A,0))),0),IFERROR(INDEX('LP MONCAR'!$E:$E,MATCH(TRIM(F150),'LP MONCAR'!$A:$A,0)),0)))</f>
        <v/>
      </c>
      <c r="K150" s="18" t="n">
        <v>31800</v>
      </c>
      <c r="L150" s="16" t="inlineStr">
        <is>
          <t>2026-03</t>
        </is>
      </c>
      <c r="M150" s="16" t="n"/>
      <c r="N150" s="20" t="n">
        <v>4119.2586</v>
      </c>
      <c r="O150" s="18" t="n">
        <v>27680.7414</v>
      </c>
      <c r="P150" s="16" t="inlineStr">
        <is>
          <t>DE WALT</t>
        </is>
      </c>
      <c r="Q150" s="16" t="inlineStr">
        <is>
          <t>FERRETERIA</t>
        </is>
      </c>
      <c r="R150" s="16" t="n"/>
      <c r="S150" s="16" t="n"/>
      <c r="T150" s="16" t="n"/>
      <c r="U150" s="16" t="n"/>
    </row>
    <row r="151">
      <c r="A151" s="37" t="n"/>
      <c r="B151" s="16" t="n">
        <v>1251</v>
      </c>
      <c r="C151" s="16" t="inlineStr">
        <is>
          <t>Maxi</t>
        </is>
      </c>
      <c r="D151" s="17" t="n">
        <v>46108</v>
      </c>
      <c r="E151" s="16" t="inlineStr">
        <is>
          <t>MONCAR</t>
        </is>
      </c>
      <c r="F151" s="16" t="inlineStr">
        <is>
          <t>CF 711</t>
        </is>
      </c>
      <c r="G151" s="18" t="n">
        <v>6</v>
      </c>
      <c r="H151" s="16" t="inlineStr">
        <is>
          <t>BURGOS</t>
        </is>
      </c>
      <c r="I151" s="19" t="n"/>
      <c r="J151" s="18">
        <f>IF(TRIM(F151)="","",IF(LEFT(TRIM(F151),2)="RM",IFERROR(IF(D151&gt;=DATE(2026,4,1),INDEX('LP RMH'!$F:$F,MATCH(TRIM(F151),'LP RMH'!$A:$A,0)),INDEX('LP RMH'!$E:$E,MATCH(TRIM(F151),'LP RMH'!$A:$A,0))),0),IFERROR(INDEX('LP MONCAR'!$E:$E,MATCH(TRIM(F151),'LP MONCAR'!$A:$A,0)),0)))</f>
        <v/>
      </c>
      <c r="K151" s="18" t="n">
        <v>18360</v>
      </c>
      <c r="L151" s="16" t="inlineStr">
        <is>
          <t>2026-03</t>
        </is>
      </c>
      <c r="M151" s="16" t="n"/>
      <c r="N151" s="20" t="n">
        <v>3044.669400000001</v>
      </c>
      <c r="O151" s="18" t="n">
        <v>15315.3306</v>
      </c>
      <c r="P151" s="16" t="inlineStr">
        <is>
          <t>GAMMA</t>
        </is>
      </c>
      <c r="Q151" s="16" t="inlineStr">
        <is>
          <t>FERRETERIA</t>
        </is>
      </c>
      <c r="R151" s="16" t="n"/>
      <c r="S151" s="16" t="n"/>
      <c r="T151" s="16" t="n"/>
      <c r="U151" s="16" t="n"/>
    </row>
    <row r="152">
      <c r="A152" s="37" t="n"/>
      <c r="B152" s="16" t="n">
        <v>1251</v>
      </c>
      <c r="C152" s="16" t="inlineStr">
        <is>
          <t>Maxi</t>
        </is>
      </c>
      <c r="D152" s="17" t="n">
        <v>46108</v>
      </c>
      <c r="E152" s="16" t="inlineStr">
        <is>
          <t>MONCAR</t>
        </is>
      </c>
      <c r="F152" s="16" t="inlineStr">
        <is>
          <t>CF 712</t>
        </is>
      </c>
      <c r="G152" s="18" t="n">
        <v>6</v>
      </c>
      <c r="H152" s="16" t="inlineStr">
        <is>
          <t>BURGOS</t>
        </is>
      </c>
      <c r="I152" s="19" t="n"/>
      <c r="J152" s="18">
        <f>IF(TRIM(F152)="","",IF(LEFT(TRIM(F152),2)="RM",IFERROR(IF(D152&gt;=DATE(2026,4,1),INDEX('LP RMH'!$F:$F,MATCH(TRIM(F152),'LP RMH'!$A:$A,0)),INDEX('LP RMH'!$E:$E,MATCH(TRIM(F152),'LP RMH'!$A:$A,0))),0),IFERROR(INDEX('LP MONCAR'!$E:$E,MATCH(TRIM(F152),'LP MONCAR'!$A:$A,0)),0)))</f>
        <v/>
      </c>
      <c r="K152" s="18" t="n">
        <v>21060</v>
      </c>
      <c r="L152" s="16" t="inlineStr">
        <is>
          <t>2026-03</t>
        </is>
      </c>
      <c r="M152" s="16" t="n"/>
      <c r="N152" s="20" t="n"/>
      <c r="O152" s="18" t="n"/>
      <c r="P152" s="16" t="inlineStr">
        <is>
          <t>GAMMA</t>
        </is>
      </c>
      <c r="Q152" s="16" t="inlineStr">
        <is>
          <t>FERRETERIA</t>
        </is>
      </c>
      <c r="R152" s="16" t="n"/>
      <c r="S152" s="16" t="n"/>
      <c r="T152" s="16" t="n"/>
      <c r="U152" s="16" t="n"/>
    </row>
    <row r="153">
      <c r="A153" s="37" t="n"/>
      <c r="B153" s="16" t="n">
        <v>1251</v>
      </c>
      <c r="C153" s="16" t="inlineStr">
        <is>
          <t>Maxi</t>
        </is>
      </c>
      <c r="D153" s="17" t="n">
        <v>46108</v>
      </c>
      <c r="E153" s="16" t="inlineStr">
        <is>
          <t>MONCAR</t>
        </is>
      </c>
      <c r="F153" s="16" t="inlineStr">
        <is>
          <t>CF 648</t>
        </is>
      </c>
      <c r="G153" s="18" t="n">
        <v>6</v>
      </c>
      <c r="H153" s="16" t="inlineStr">
        <is>
          <t>BURGOS</t>
        </is>
      </c>
      <c r="I153" s="19" t="n"/>
      <c r="J153" s="18">
        <f>IF(TRIM(F153)="","",IF(LEFT(TRIM(F153),2)="RM",IFERROR(IF(D153&gt;=DATE(2026,4,1),INDEX('LP RMH'!$F:$F,MATCH(TRIM(F153),'LP RMH'!$A:$A,0)),INDEX('LP RMH'!$E:$E,MATCH(TRIM(F153),'LP RMH'!$A:$A,0))),0),IFERROR(INDEX('LP MONCAR'!$E:$E,MATCH(TRIM(F153),'LP MONCAR'!$A:$A,0)),0)))</f>
        <v/>
      </c>
      <c r="K153" s="18" t="n">
        <v>15180</v>
      </c>
      <c r="L153" s="16" t="inlineStr">
        <is>
          <t>2026-03</t>
        </is>
      </c>
      <c r="M153" s="16" t="n"/>
      <c r="N153" s="20" t="n"/>
      <c r="O153" s="18" t="n"/>
      <c r="P153" s="16" t="inlineStr">
        <is>
          <t>SKIL</t>
        </is>
      </c>
      <c r="Q153" s="16" t="inlineStr">
        <is>
          <t>FERRETERIA</t>
        </is>
      </c>
      <c r="R153" s="16" t="n"/>
      <c r="S153" s="16" t="n"/>
      <c r="T153" s="16" t="n"/>
      <c r="U153" s="16" t="n"/>
    </row>
    <row r="154">
      <c r="A154" s="37" t="n"/>
      <c r="B154" s="16" t="n">
        <v>1251</v>
      </c>
      <c r="C154" s="16" t="inlineStr">
        <is>
          <t>Maxi</t>
        </is>
      </c>
      <c r="D154" s="17" t="n">
        <v>46108</v>
      </c>
      <c r="E154" s="16" t="inlineStr">
        <is>
          <t>MONCAR</t>
        </is>
      </c>
      <c r="F154" s="16" t="inlineStr">
        <is>
          <t>CF 652</t>
        </is>
      </c>
      <c r="G154" s="18" t="n">
        <v>6</v>
      </c>
      <c r="H154" s="16" t="inlineStr">
        <is>
          <t>BURGOS</t>
        </is>
      </c>
      <c r="I154" s="19" t="n"/>
      <c r="J154" s="18">
        <f>IF(TRIM(F154)="","",IF(LEFT(TRIM(F154),2)="RM",IFERROR(IF(D154&gt;=DATE(2026,4,1),INDEX('LP RMH'!$F:$F,MATCH(TRIM(F154),'LP RMH'!$A:$A,0)),INDEX('LP RMH'!$E:$E,MATCH(TRIM(F154),'LP RMH'!$A:$A,0))),0),IFERROR(INDEX('LP MONCAR'!$E:$E,MATCH(TRIM(F154),'LP MONCAR'!$A:$A,0)),0)))</f>
        <v/>
      </c>
      <c r="K154" s="18" t="n">
        <v>15900</v>
      </c>
      <c r="L154" s="16" t="inlineStr">
        <is>
          <t>2026-03</t>
        </is>
      </c>
      <c r="M154" s="16" t="n"/>
      <c r="N154" s="20" t="n"/>
      <c r="O154" s="18" t="n"/>
      <c r="P154" s="16" t="inlineStr">
        <is>
          <t>SKIL</t>
        </is>
      </c>
      <c r="Q154" s="16" t="inlineStr">
        <is>
          <t>FERRETERIA</t>
        </is>
      </c>
      <c r="R154" s="16" t="n"/>
      <c r="S154" s="16" t="n"/>
      <c r="T154" s="16" t="n"/>
      <c r="U154" s="16" t="n"/>
    </row>
    <row r="155">
      <c r="A155" s="37" t="n"/>
      <c r="B155" s="16" t="n">
        <v>1251</v>
      </c>
      <c r="C155" s="16" t="inlineStr">
        <is>
          <t>Maxi</t>
        </is>
      </c>
      <c r="D155" s="17" t="n">
        <v>46108</v>
      </c>
      <c r="E155" s="16" t="inlineStr">
        <is>
          <t>MONCAR</t>
        </is>
      </c>
      <c r="F155" s="16" t="inlineStr">
        <is>
          <t>CE 307</t>
        </is>
      </c>
      <c r="G155" s="18" t="n">
        <v>4</v>
      </c>
      <c r="H155" s="16" t="inlineStr">
        <is>
          <t>BURGOS</t>
        </is>
      </c>
      <c r="I155" s="19" t="n"/>
      <c r="J155" s="18">
        <f>IF(TRIM(F155)="","",IF(LEFT(TRIM(F155),2)="RM",IFERROR(IF(D155&gt;=DATE(2026,4,1),INDEX('LP RMH'!$F:$F,MATCH(TRIM(F155),'LP RMH'!$A:$A,0)),INDEX('LP RMH'!$E:$E,MATCH(TRIM(F155),'LP RMH'!$A:$A,0))),0),IFERROR(INDEX('LP MONCAR'!$E:$E,MATCH(TRIM(F155),'LP MONCAR'!$A:$A,0)),0)))</f>
        <v/>
      </c>
      <c r="K155" s="18" t="n">
        <v>26840</v>
      </c>
      <c r="L155" s="16" t="inlineStr">
        <is>
          <t>2026-03</t>
        </is>
      </c>
      <c r="M155" s="16" t="n"/>
      <c r="N155" s="20" t="n">
        <v>3581.964</v>
      </c>
      <c r="O155" s="18" t="n">
        <v>23258.036</v>
      </c>
      <c r="P155" s="16" t="inlineStr">
        <is>
          <t>HIDROLAVADORA</t>
        </is>
      </c>
      <c r="Q155" s="16" t="inlineStr">
        <is>
          <t>FERRETERIA</t>
        </is>
      </c>
      <c r="R155" s="16" t="n"/>
      <c r="S155" s="16" t="n"/>
      <c r="T155" s="16" t="n"/>
      <c r="U155" s="16" t="n"/>
    </row>
    <row r="156">
      <c r="A156" s="37" t="n"/>
      <c r="B156" s="16" t="n">
        <v>1251</v>
      </c>
      <c r="C156" s="16" t="inlineStr">
        <is>
          <t>Maxi</t>
        </is>
      </c>
      <c r="D156" s="17" t="n">
        <v>46108</v>
      </c>
      <c r="E156" s="16" t="inlineStr">
        <is>
          <t>MONCAR</t>
        </is>
      </c>
      <c r="F156" s="16" t="inlineStr">
        <is>
          <t>CE 308</t>
        </is>
      </c>
      <c r="G156" s="18" t="n">
        <v>4</v>
      </c>
      <c r="H156" s="16" t="inlineStr">
        <is>
          <t>BURGOS</t>
        </is>
      </c>
      <c r="I156" s="19" t="n"/>
      <c r="J156" s="18">
        <f>IF(TRIM(F156)="","",IF(LEFT(TRIM(F156),2)="RM",IFERROR(IF(D156&gt;=DATE(2026,4,1),INDEX('LP RMH'!$F:$F,MATCH(TRIM(F156),'LP RMH'!$A:$A,0)),INDEX('LP RMH'!$E:$E,MATCH(TRIM(F156),'LP RMH'!$A:$A,0))),0),IFERROR(INDEX('LP MONCAR'!$E:$E,MATCH(TRIM(F156),'LP MONCAR'!$A:$A,0)),0)))</f>
        <v/>
      </c>
      <c r="K156" s="18" t="n">
        <v>26400</v>
      </c>
      <c r="L156" s="16" t="inlineStr">
        <is>
          <t>2026-03</t>
        </is>
      </c>
      <c r="M156" s="16" t="n"/>
      <c r="N156" s="20" t="n">
        <v>4059.559200000001</v>
      </c>
      <c r="O156" s="18" t="n">
        <v>22340.4408</v>
      </c>
      <c r="P156" s="16" t="inlineStr">
        <is>
          <t>HIDROLAVADORA</t>
        </is>
      </c>
      <c r="Q156" s="16" t="inlineStr">
        <is>
          <t>FERRETERIA</t>
        </is>
      </c>
      <c r="R156" s="16" t="n"/>
      <c r="S156" s="16" t="n"/>
      <c r="T156" s="16" t="n"/>
      <c r="U156" s="16" t="n"/>
    </row>
    <row r="157">
      <c r="A157" s="37" t="n"/>
      <c r="B157" s="16" t="n">
        <v>1957</v>
      </c>
      <c r="C157" s="16" t="inlineStr">
        <is>
          <t>Maxi</t>
        </is>
      </c>
      <c r="D157" s="17" t="n">
        <v>46082</v>
      </c>
      <c r="E157" s="16" t="inlineStr">
        <is>
          <t>MONCAR</t>
        </is>
      </c>
      <c r="F157" s="16" t="inlineStr">
        <is>
          <t>CF 665</t>
        </is>
      </c>
      <c r="G157" s="18" t="n">
        <v>2</v>
      </c>
      <c r="H157" s="16" t="inlineStr">
        <is>
          <t>FERRETERIA MAX</t>
        </is>
      </c>
      <c r="I157" s="19" t="n"/>
      <c r="J157" s="18">
        <f>IF(TRIM(F157)="","",IF(LEFT(TRIM(F157),2)="RM",IFERROR(IF(D157&gt;=DATE(2026,4,1),INDEX('LP RMH'!$F:$F,MATCH(TRIM(F157),'LP RMH'!$A:$A,0)),INDEX('LP RMH'!$E:$E,MATCH(TRIM(F157),'LP RMH'!$A:$A,0))),0),IFERROR(INDEX('LP MONCAR'!$E:$E,MATCH(TRIM(F157),'LP MONCAR'!$A:$A,0)),0)))</f>
        <v/>
      </c>
      <c r="K157" s="18" t="n">
        <v>4600</v>
      </c>
      <c r="L157" s="16" t="inlineStr">
        <is>
          <t>2026-03</t>
        </is>
      </c>
      <c r="M157" s="16" t="n"/>
      <c r="N157" s="20" t="n">
        <v>596.994</v>
      </c>
      <c r="O157" s="18" t="n">
        <v>4003.006</v>
      </c>
      <c r="P157" s="16" t="inlineStr">
        <is>
          <t>BLACK Y DECKER</t>
        </is>
      </c>
      <c r="Q157" s="16" t="inlineStr">
        <is>
          <t>FERRETERIA</t>
        </is>
      </c>
      <c r="R157" s="16" t="n"/>
      <c r="S157" s="16" t="n"/>
      <c r="T157" s="16" t="n"/>
      <c r="U157" s="16" t="n"/>
    </row>
    <row r="158">
      <c r="A158" s="37" t="n"/>
      <c r="B158" s="16" t="n">
        <v>1957</v>
      </c>
      <c r="C158" s="16" t="inlineStr">
        <is>
          <t>Maxi</t>
        </is>
      </c>
      <c r="D158" s="17" t="n">
        <v>46082</v>
      </c>
      <c r="E158" s="16" t="inlineStr">
        <is>
          <t>MONCAR</t>
        </is>
      </c>
      <c r="F158" s="16" t="inlineStr">
        <is>
          <t>CF 019</t>
        </is>
      </c>
      <c r="G158" s="18" t="n">
        <v>2</v>
      </c>
      <c r="H158" s="16" t="inlineStr">
        <is>
          <t>FERRETERIA MAX</t>
        </is>
      </c>
      <c r="I158" s="19" t="n"/>
      <c r="J158" s="18">
        <f>IF(TRIM(F158)="","",IF(LEFT(TRIM(F158),2)="RM",IFERROR(IF(D158&gt;=DATE(2026,4,1),INDEX('LP RMH'!$F:$F,MATCH(TRIM(F158),'LP RMH'!$A:$A,0)),INDEX('LP RMH'!$E:$E,MATCH(TRIM(F158),'LP RMH'!$A:$A,0))),0),IFERROR(INDEX('LP MONCAR'!$E:$E,MATCH(TRIM(F158),'LP MONCAR'!$A:$A,0)),0)))</f>
        <v/>
      </c>
      <c r="K158" s="18" t="n">
        <v>6440</v>
      </c>
      <c r="L158" s="16" t="inlineStr">
        <is>
          <t>2026-03</t>
        </is>
      </c>
      <c r="M158" s="16" t="n"/>
      <c r="N158" s="20" t="n">
        <v>895.491</v>
      </c>
      <c r="O158" s="18" t="n">
        <v>5544.509</v>
      </c>
      <c r="P158" s="16" t="inlineStr">
        <is>
          <t>BOSCH</t>
        </is>
      </c>
      <c r="Q158" s="16" t="inlineStr">
        <is>
          <t>FERRETERIA</t>
        </is>
      </c>
      <c r="R158" s="16" t="n"/>
      <c r="S158" s="16" t="n"/>
      <c r="T158" s="16" t="n"/>
      <c r="U158" s="16" t="n"/>
    </row>
    <row r="159">
      <c r="A159" s="37" t="n"/>
      <c r="B159" s="16" t="n">
        <v>1957</v>
      </c>
      <c r="C159" s="16" t="inlineStr">
        <is>
          <t>Maxi</t>
        </is>
      </c>
      <c r="D159" s="17" t="n">
        <v>46082</v>
      </c>
      <c r="E159" s="16" t="inlineStr">
        <is>
          <t>MONCAR</t>
        </is>
      </c>
      <c r="F159" s="16" t="inlineStr">
        <is>
          <t>CF 181</t>
        </is>
      </c>
      <c r="G159" s="18" t="n">
        <v>2</v>
      </c>
      <c r="H159" s="16" t="inlineStr">
        <is>
          <t>FERRETERIA MAX</t>
        </is>
      </c>
      <c r="I159" s="19" t="n"/>
      <c r="J159" s="18">
        <f>IF(TRIM(F159)="","",IF(LEFT(TRIM(F159),2)="RM",IFERROR(IF(D159&gt;=DATE(2026,4,1),INDEX('LP RMH'!$F:$F,MATCH(TRIM(F159),'LP RMH'!$A:$A,0)),INDEX('LP RMH'!$E:$E,MATCH(TRIM(F159),'LP RMH'!$A:$A,0))),0),IFERROR(INDEX('LP MONCAR'!$E:$E,MATCH(TRIM(F159),'LP MONCAR'!$A:$A,0)),0)))</f>
        <v/>
      </c>
      <c r="K159" s="18" t="n">
        <v>7100</v>
      </c>
      <c r="L159" s="16" t="inlineStr">
        <is>
          <t>2026-03</t>
        </is>
      </c>
      <c r="M159" s="16" t="n"/>
      <c r="N159" s="20" t="n">
        <v>955.1904000000001</v>
      </c>
      <c r="O159" s="18" t="n">
        <v>6144.8096</v>
      </c>
      <c r="P159" s="16" t="inlineStr">
        <is>
          <t>DE WALT</t>
        </is>
      </c>
      <c r="Q159" s="16" t="inlineStr">
        <is>
          <t>FERRETERIA</t>
        </is>
      </c>
      <c r="R159" s="16" t="n"/>
      <c r="S159" s="16" t="n"/>
      <c r="T159" s="16" t="n"/>
      <c r="U159" s="16" t="n"/>
    </row>
    <row r="160">
      <c r="A160" s="37" t="n"/>
      <c r="B160" s="16" t="n">
        <v>1957</v>
      </c>
      <c r="C160" s="16" t="inlineStr">
        <is>
          <t>Maxi</t>
        </is>
      </c>
      <c r="D160" s="17" t="n">
        <v>46082</v>
      </c>
      <c r="E160" s="16" t="inlineStr">
        <is>
          <t>MONCAR</t>
        </is>
      </c>
      <c r="F160" s="16" t="inlineStr">
        <is>
          <t>CF 189</t>
        </is>
      </c>
      <c r="G160" s="18" t="n">
        <v>2</v>
      </c>
      <c r="H160" s="16" t="inlineStr">
        <is>
          <t>FERRETERIA MAX</t>
        </is>
      </c>
      <c r="I160" s="19" t="n"/>
      <c r="J160" s="18">
        <f>IF(TRIM(F160)="","",IF(LEFT(TRIM(F160),2)="RM",IFERROR(IF(D160&gt;=DATE(2026,4,1),INDEX('LP RMH'!$F:$F,MATCH(TRIM(F160),'LP RMH'!$A:$A,0)),INDEX('LP RMH'!$E:$E,MATCH(TRIM(F160),'LP RMH'!$A:$A,0))),0),IFERROR(INDEX('LP MONCAR'!$E:$E,MATCH(TRIM(F160),'LP MONCAR'!$A:$A,0)),0)))</f>
        <v/>
      </c>
      <c r="K160" s="18" t="n">
        <v>6840</v>
      </c>
      <c r="L160" s="16" t="inlineStr">
        <is>
          <t>2026-03</t>
        </is>
      </c>
      <c r="M160" s="16" t="n"/>
      <c r="N160" s="20" t="n">
        <v>955.1904000000001</v>
      </c>
      <c r="O160" s="18" t="n">
        <v>5884.8096</v>
      </c>
      <c r="P160" s="16" t="inlineStr">
        <is>
          <t>DE WALT</t>
        </is>
      </c>
      <c r="Q160" s="16" t="inlineStr">
        <is>
          <t>FERRETERIA</t>
        </is>
      </c>
      <c r="R160" s="16" t="n"/>
      <c r="S160" s="16" t="n"/>
      <c r="T160" s="16" t="n"/>
      <c r="U160" s="16" t="n"/>
    </row>
    <row r="161">
      <c r="A161" s="37" t="n"/>
      <c r="B161" s="16" t="n">
        <v>1957</v>
      </c>
      <c r="C161" s="16" t="inlineStr">
        <is>
          <t>Maxi</t>
        </is>
      </c>
      <c r="D161" s="17" t="n">
        <v>46082</v>
      </c>
      <c r="E161" s="16" t="inlineStr">
        <is>
          <t>MONCAR</t>
        </is>
      </c>
      <c r="F161" s="16" t="inlineStr">
        <is>
          <t>CF 753</t>
        </is>
      </c>
      <c r="G161" s="18" t="n">
        <v>2</v>
      </c>
      <c r="H161" s="16" t="inlineStr">
        <is>
          <t>FERRETERIA MAX</t>
        </is>
      </c>
      <c r="I161" s="19" t="n"/>
      <c r="J161" s="18">
        <f>IF(TRIM(F161)="","",IF(LEFT(TRIM(F161),2)="RM",IFERROR(IF(D161&gt;=DATE(2026,4,1),INDEX('LP RMH'!$F:$F,MATCH(TRIM(F161),'LP RMH'!$A:$A,0)),INDEX('LP RMH'!$E:$E,MATCH(TRIM(F161),'LP RMH'!$A:$A,0))),0),IFERROR(INDEX('LP MONCAR'!$E:$E,MATCH(TRIM(F161),'LP MONCAR'!$A:$A,0)),0)))</f>
        <v/>
      </c>
      <c r="K161" s="18" t="n">
        <v>9760</v>
      </c>
      <c r="L161" s="16" t="inlineStr">
        <is>
          <t>2026-03</t>
        </is>
      </c>
      <c r="M161" s="16" t="n"/>
      <c r="N161" s="20" t="n">
        <v>1313.3868</v>
      </c>
      <c r="O161" s="18" t="n">
        <v>8446.6132</v>
      </c>
      <c r="P161" s="16" t="inlineStr">
        <is>
          <t>DOWEN PAGGIO</t>
        </is>
      </c>
      <c r="Q161" s="16" t="inlineStr">
        <is>
          <t>FERRETERIA</t>
        </is>
      </c>
      <c r="R161" s="16" t="n"/>
      <c r="S161" s="16" t="n"/>
      <c r="T161" s="16" t="n"/>
      <c r="U161" s="16" t="n"/>
    </row>
    <row r="162">
      <c r="A162" s="37" t="n"/>
      <c r="B162" s="16" t="n">
        <v>1957</v>
      </c>
      <c r="C162" s="16" t="inlineStr">
        <is>
          <t>Maxi</t>
        </is>
      </c>
      <c r="D162" s="17" t="n">
        <v>46082</v>
      </c>
      <c r="E162" s="16" t="inlineStr">
        <is>
          <t>MONCAR</t>
        </is>
      </c>
      <c r="F162" s="16" t="inlineStr">
        <is>
          <t>CF 042</t>
        </is>
      </c>
      <c r="G162" s="18" t="n">
        <v>2</v>
      </c>
      <c r="H162" s="16" t="inlineStr">
        <is>
          <t>FERRETERIA MAX</t>
        </is>
      </c>
      <c r="I162" s="19" t="n"/>
      <c r="J162" s="18">
        <f>IF(TRIM(F162)="","",IF(LEFT(TRIM(F162),2)="RM",IFERROR(IF(D162&gt;=DATE(2026,4,1),INDEX('LP RMH'!$F:$F,MATCH(TRIM(F162),'LP RMH'!$A:$A,0)),INDEX('LP RMH'!$E:$E,MATCH(TRIM(F162),'LP RMH'!$A:$A,0))),0),IFERROR(INDEX('LP MONCAR'!$E:$E,MATCH(TRIM(F162),'LP MONCAR'!$A:$A,0)),0)))</f>
        <v/>
      </c>
      <c r="K162" s="18" t="n">
        <v>10060</v>
      </c>
      <c r="L162" s="16" t="inlineStr">
        <is>
          <t>2026-03</t>
        </is>
      </c>
      <c r="M162" s="16" t="n"/>
      <c r="N162" s="20" t="n">
        <v>1313.3868</v>
      </c>
      <c r="O162" s="18" t="n">
        <v>8746.6132</v>
      </c>
      <c r="P162" s="16" t="inlineStr">
        <is>
          <t>HITACHI</t>
        </is>
      </c>
      <c r="Q162" s="16" t="inlineStr">
        <is>
          <t>FERRETERIA</t>
        </is>
      </c>
      <c r="R162" s="16" t="n"/>
      <c r="S162" s="16" t="n"/>
      <c r="T162" s="16" t="n"/>
      <c r="U162" s="16" t="n"/>
    </row>
    <row r="163">
      <c r="A163" s="37" t="n"/>
      <c r="B163" s="16" t="n">
        <v>1957</v>
      </c>
      <c r="C163" s="16" t="inlineStr">
        <is>
          <t>Maxi</t>
        </is>
      </c>
      <c r="D163" s="17" t="n">
        <v>46082</v>
      </c>
      <c r="E163" s="16" t="inlineStr">
        <is>
          <t>MONCAR</t>
        </is>
      </c>
      <c r="F163" s="16" t="inlineStr">
        <is>
          <t>CF 659</t>
        </is>
      </c>
      <c r="G163" s="18" t="n">
        <v>2</v>
      </c>
      <c r="H163" s="16" t="inlineStr">
        <is>
          <t>FERRETERIA MAX</t>
        </is>
      </c>
      <c r="I163" s="19" t="n"/>
      <c r="J163" s="18">
        <f>IF(TRIM(F163)="","",IF(LEFT(TRIM(F163),2)="RM",IFERROR(IF(D163&gt;=DATE(2026,4,1),INDEX('LP RMH'!$F:$F,MATCH(TRIM(F163),'LP RMH'!$A:$A,0)),INDEX('LP RMH'!$E:$E,MATCH(TRIM(F163),'LP RMH'!$A:$A,0))),0),IFERROR(INDEX('LP MONCAR'!$E:$E,MATCH(TRIM(F163),'LP MONCAR'!$A:$A,0)),0)))</f>
        <v/>
      </c>
      <c r="K163" s="18" t="n">
        <v>4600</v>
      </c>
      <c r="L163" s="16" t="inlineStr">
        <is>
          <t>2026-03</t>
        </is>
      </c>
      <c r="M163" s="16" t="n"/>
      <c r="N163" s="20" t="n">
        <v>656.6934</v>
      </c>
      <c r="O163" s="18" t="n">
        <v>3943.3066</v>
      </c>
      <c r="P163" s="16" t="inlineStr">
        <is>
          <t>SKIL</t>
        </is>
      </c>
      <c r="Q163" s="16" t="inlineStr">
        <is>
          <t>FERRETERIA</t>
        </is>
      </c>
      <c r="R163" s="16" t="n"/>
      <c r="S163" s="16" t="n"/>
      <c r="T163" s="16" t="n"/>
      <c r="U163" s="16" t="n"/>
    </row>
    <row r="164">
      <c r="A164" s="37" t="n"/>
      <c r="B164" s="16" t="n">
        <v>1958</v>
      </c>
      <c r="C164" s="16" t="inlineStr">
        <is>
          <t>Maxi</t>
        </is>
      </c>
      <c r="D164" s="17" t="n">
        <v>46082</v>
      </c>
      <c r="E164" s="16" t="inlineStr">
        <is>
          <t>MONCAR</t>
        </is>
      </c>
      <c r="F164" s="16" t="inlineStr">
        <is>
          <t>CF 655</t>
        </is>
      </c>
      <c r="G164" s="18" t="n">
        <v>5</v>
      </c>
      <c r="H164" s="16" t="inlineStr">
        <is>
          <t>IONLUX</t>
        </is>
      </c>
      <c r="I164" s="19" t="n"/>
      <c r="J164" s="18">
        <f>IF(TRIM(F164)="","",IF(LEFT(TRIM(F164),2)="RM",IFERROR(IF(D164&gt;=DATE(2026,4,1),INDEX('LP RMH'!$F:$F,MATCH(TRIM(F164),'LP RMH'!$A:$A,0)),INDEX('LP RMH'!$E:$E,MATCH(TRIM(F164),'LP RMH'!$A:$A,0))),0),IFERROR(INDEX('LP MONCAR'!$E:$E,MATCH(TRIM(F164),'LP MONCAR'!$A:$A,0)),0)))</f>
        <v/>
      </c>
      <c r="K164" s="18" t="n">
        <v>12650</v>
      </c>
      <c r="L164" s="16" t="inlineStr">
        <is>
          <t>2026-03</t>
        </is>
      </c>
      <c r="M164" s="16" t="n"/>
      <c r="N164" s="20" t="n">
        <v>1641.7335</v>
      </c>
      <c r="O164" s="18" t="n">
        <v>11008.2665</v>
      </c>
      <c r="P164" s="16" t="inlineStr">
        <is>
          <t>SKIL</t>
        </is>
      </c>
      <c r="Q164" s="16" t="inlineStr">
        <is>
          <t>FERRETERIA</t>
        </is>
      </c>
      <c r="R164" s="16" t="n"/>
      <c r="S164" s="16" t="n"/>
      <c r="T164" s="16" t="n"/>
      <c r="U164" s="16" t="n"/>
    </row>
    <row r="165">
      <c r="A165" s="37" t="n"/>
      <c r="B165" s="16" t="n">
        <v>1958</v>
      </c>
      <c r="C165" s="16" t="inlineStr">
        <is>
          <t>Maxi</t>
        </is>
      </c>
      <c r="D165" s="17" t="n">
        <v>46082</v>
      </c>
      <c r="E165" s="16" t="inlineStr">
        <is>
          <t>MONCAR</t>
        </is>
      </c>
      <c r="F165" s="16" t="inlineStr">
        <is>
          <t>CF 057</t>
        </is>
      </c>
      <c r="G165" s="18" t="n">
        <v>5</v>
      </c>
      <c r="H165" s="16" t="inlineStr">
        <is>
          <t>IONLUX</t>
        </is>
      </c>
      <c r="I165" s="19" t="n"/>
      <c r="J165" s="18">
        <f>IF(TRIM(F165)="","",IF(LEFT(TRIM(F165),2)="RM",IFERROR(IF(D165&gt;=DATE(2026,4,1),INDEX('LP RMH'!$F:$F,MATCH(TRIM(F165),'LP RMH'!$A:$A,0)),INDEX('LP RMH'!$E:$E,MATCH(TRIM(F165),'LP RMH'!$A:$A,0))),0),IFERROR(INDEX('LP MONCAR'!$E:$E,MATCH(TRIM(F165),'LP MONCAR'!$A:$A,0)),0)))</f>
        <v/>
      </c>
      <c r="K165" s="18" t="n">
        <v>25850</v>
      </c>
      <c r="L165" s="16" t="inlineStr">
        <is>
          <t>2026-03</t>
        </is>
      </c>
      <c r="M165" s="16" t="n"/>
      <c r="N165" s="20" t="n">
        <v>3432.7155</v>
      </c>
      <c r="O165" s="18" t="n">
        <v>22417.2845</v>
      </c>
      <c r="P165" s="16" t="inlineStr">
        <is>
          <t>MAKITA</t>
        </is>
      </c>
      <c r="Q165" s="16" t="inlineStr">
        <is>
          <t>FERRETERIA</t>
        </is>
      </c>
      <c r="R165" s="16" t="n"/>
      <c r="S165" s="16" t="n"/>
      <c r="T165" s="16" t="n"/>
      <c r="U165" s="16" t="n"/>
    </row>
    <row r="166">
      <c r="A166" s="37" t="n"/>
      <c r="B166" s="16" t="n">
        <v>1958</v>
      </c>
      <c r="C166" s="16" t="inlineStr">
        <is>
          <t>Maxi</t>
        </is>
      </c>
      <c r="D166" s="17" t="n">
        <v>46082</v>
      </c>
      <c r="E166" s="16" t="inlineStr">
        <is>
          <t>MONCAR</t>
        </is>
      </c>
      <c r="F166" s="16" t="inlineStr">
        <is>
          <t>CE 308</t>
        </is>
      </c>
      <c r="G166" s="18" t="n">
        <v>5</v>
      </c>
      <c r="H166" s="16" t="inlineStr">
        <is>
          <t>IONLUX</t>
        </is>
      </c>
      <c r="I166" s="19" t="n"/>
      <c r="J166" s="18">
        <f>IF(TRIM(F166)="","",IF(LEFT(TRIM(F166),2)="RM",IFERROR(IF(D166&gt;=DATE(2026,4,1),INDEX('LP RMH'!$F:$F,MATCH(TRIM(F166),'LP RMH'!$A:$A,0)),INDEX('LP RMH'!$E:$E,MATCH(TRIM(F166),'LP RMH'!$A:$A,0))),0),IFERROR(INDEX('LP MONCAR'!$E:$E,MATCH(TRIM(F166),'LP MONCAR'!$A:$A,0)),0)))</f>
        <v/>
      </c>
      <c r="K166" s="18" t="n">
        <v>33000</v>
      </c>
      <c r="L166" s="16" t="inlineStr">
        <is>
          <t>2026-03</t>
        </is>
      </c>
      <c r="M166" s="16" t="n"/>
      <c r="N166" s="20" t="n">
        <v>5074.449000000001</v>
      </c>
      <c r="O166" s="18" t="n">
        <v>27925.551</v>
      </c>
      <c r="P166" s="16" t="inlineStr">
        <is>
          <t>HIDROLAVADORA</t>
        </is>
      </c>
      <c r="Q166" s="16" t="inlineStr">
        <is>
          <t>FERRETERIA</t>
        </is>
      </c>
      <c r="R166" s="16" t="n"/>
      <c r="S166" s="16" t="n"/>
      <c r="T166" s="16" t="n"/>
      <c r="U166" s="16" t="n"/>
    </row>
    <row r="167">
      <c r="A167" s="37" t="n"/>
      <c r="B167" s="16" t="n">
        <v>1959</v>
      </c>
      <c r="C167" s="16" t="inlineStr">
        <is>
          <t>Maxi</t>
        </is>
      </c>
      <c r="D167" s="17" t="n">
        <v>46082</v>
      </c>
      <c r="E167" s="16" t="inlineStr">
        <is>
          <t>MONCAR</t>
        </is>
      </c>
      <c r="F167" s="16" t="inlineStr">
        <is>
          <t>CF 665</t>
        </is>
      </c>
      <c r="G167" s="18" t="n">
        <v>10</v>
      </c>
      <c r="H167" s="16" t="inlineStr">
        <is>
          <t>FERRETERIA DEVOTO</t>
        </is>
      </c>
      <c r="I167" s="19" t="n"/>
      <c r="J167" s="18">
        <f>IF(TRIM(F167)="","",IF(LEFT(TRIM(F167),2)="RM",IFERROR(IF(D167&gt;=DATE(2026,4,1),INDEX('LP RMH'!$F:$F,MATCH(TRIM(F167),'LP RMH'!$A:$A,0)),INDEX('LP RMH'!$E:$E,MATCH(TRIM(F167),'LP RMH'!$A:$A,0))),0),IFERROR(INDEX('LP MONCAR'!$E:$E,MATCH(TRIM(F167),'LP MONCAR'!$A:$A,0)),0)))</f>
        <v/>
      </c>
      <c r="K167" s="18" t="n">
        <v>23000</v>
      </c>
      <c r="L167" s="16" t="inlineStr">
        <is>
          <t>2026-03</t>
        </is>
      </c>
      <c r="M167" s="16" t="n"/>
      <c r="N167" s="20" t="n">
        <v>2984.97</v>
      </c>
      <c r="O167" s="18" t="n">
        <v>20015.03</v>
      </c>
      <c r="P167" s="16" t="inlineStr">
        <is>
          <t>BLACK Y DECKER</t>
        </is>
      </c>
      <c r="Q167" s="16" t="inlineStr">
        <is>
          <t>FERRETERIA</t>
        </is>
      </c>
      <c r="R167" s="16" t="n"/>
      <c r="S167" s="16" t="n"/>
      <c r="T167" s="16" t="n"/>
      <c r="U167" s="16" t="n"/>
    </row>
    <row r="168">
      <c r="A168" s="37" t="n"/>
      <c r="B168" s="16" t="n">
        <v>1959</v>
      </c>
      <c r="C168" s="16" t="inlineStr">
        <is>
          <t>Maxi</t>
        </is>
      </c>
      <c r="D168" s="17" t="n">
        <v>46082</v>
      </c>
      <c r="E168" s="16" t="inlineStr">
        <is>
          <t>MONCAR</t>
        </is>
      </c>
      <c r="F168" s="16" t="inlineStr">
        <is>
          <t>CF 675</t>
        </is>
      </c>
      <c r="G168" s="18" t="n">
        <v>4</v>
      </c>
      <c r="H168" s="16" t="inlineStr">
        <is>
          <t>FERRETERIA DEVOTO</t>
        </is>
      </c>
      <c r="I168" s="19" t="n"/>
      <c r="J168" s="18">
        <f>IF(TRIM(F168)="","",IF(LEFT(TRIM(F168),2)="RM",IFERROR(IF(D168&gt;=DATE(2026,4,1),INDEX('LP RMH'!$F:$F,MATCH(TRIM(F168),'LP RMH'!$A:$A,0)),INDEX('LP RMH'!$E:$E,MATCH(TRIM(F168),'LP RMH'!$A:$A,0))),0),IFERROR(INDEX('LP MONCAR'!$E:$E,MATCH(TRIM(F168),'LP MONCAR'!$A:$A,0)),0)))</f>
        <v/>
      </c>
      <c r="K168" s="18" t="n">
        <v>13680</v>
      </c>
      <c r="L168" s="16" t="inlineStr">
        <is>
          <t>2026-03</t>
        </is>
      </c>
      <c r="M168" s="16" t="n"/>
      <c r="N168" s="20" t="n">
        <v>1790.982</v>
      </c>
      <c r="O168" s="18" t="n">
        <v>11889.018</v>
      </c>
      <c r="P168" s="16" t="inlineStr">
        <is>
          <t>BLACK Y DECKER</t>
        </is>
      </c>
      <c r="Q168" s="16" t="inlineStr">
        <is>
          <t>FERRETERIA</t>
        </is>
      </c>
      <c r="R168" s="16" t="n"/>
      <c r="S168" s="16" t="n"/>
      <c r="T168" s="16" t="n"/>
      <c r="U168" s="16" t="n"/>
    </row>
    <row r="169">
      <c r="A169" s="37" t="n"/>
      <c r="B169" s="16" t="n">
        <v>1959</v>
      </c>
      <c r="C169" s="16" t="inlineStr">
        <is>
          <t>Maxi</t>
        </is>
      </c>
      <c r="D169" s="17" t="n">
        <v>46082</v>
      </c>
      <c r="E169" s="16" t="inlineStr">
        <is>
          <t>MONCAR</t>
        </is>
      </c>
      <c r="F169" s="16" t="inlineStr">
        <is>
          <t>CF 712</t>
        </is>
      </c>
      <c r="G169" s="18" t="n">
        <v>2</v>
      </c>
      <c r="H169" s="16" t="inlineStr">
        <is>
          <t>FERRETERIA DEVOTO</t>
        </is>
      </c>
      <c r="I169" s="19" t="n"/>
      <c r="J169" s="18">
        <f>IF(TRIM(F169)="","",IF(LEFT(TRIM(F169),2)="RM",IFERROR(IF(D169&gt;=DATE(2026,4,1),INDEX('LP RMH'!$F:$F,MATCH(TRIM(F169),'LP RMH'!$A:$A,0)),INDEX('LP RMH'!$E:$E,MATCH(TRIM(F169),'LP RMH'!$A:$A,0))),0),IFERROR(INDEX('LP MONCAR'!$E:$E,MATCH(TRIM(F169),'LP MONCAR'!$A:$A,0)),0)))</f>
        <v/>
      </c>
      <c r="K169" s="18" t="n">
        <v>7020</v>
      </c>
      <c r="L169" s="16" t="inlineStr">
        <is>
          <t>2026-03</t>
        </is>
      </c>
      <c r="M169" s="16" t="n"/>
      <c r="N169" s="20" t="n"/>
      <c r="O169" s="18" t="n"/>
      <c r="P169" s="16" t="inlineStr">
        <is>
          <t>GAMMA</t>
        </is>
      </c>
      <c r="Q169" s="16" t="inlineStr">
        <is>
          <t>FERRETERIA</t>
        </is>
      </c>
      <c r="R169" s="16" t="n"/>
      <c r="S169" s="16" t="n"/>
      <c r="T169" s="16" t="n"/>
      <c r="U169" s="16" t="n"/>
    </row>
    <row r="170">
      <c r="A170" s="37" t="n"/>
      <c r="B170" s="16" t="n">
        <v>1959</v>
      </c>
      <c r="C170" s="16" t="inlineStr">
        <is>
          <t>Maxi</t>
        </is>
      </c>
      <c r="D170" s="17" t="n">
        <v>46082</v>
      </c>
      <c r="E170" s="16" t="inlineStr">
        <is>
          <t>MONCAR</t>
        </is>
      </c>
      <c r="F170" s="16" t="inlineStr">
        <is>
          <t>CF 028</t>
        </is>
      </c>
      <c r="G170" s="18" t="n">
        <v>2</v>
      </c>
      <c r="H170" s="16" t="inlineStr">
        <is>
          <t>FERRETERIA DEVOTO</t>
        </is>
      </c>
      <c r="I170" s="19" t="n"/>
      <c r="J170" s="18">
        <f>IF(TRIM(F170)="","",IF(LEFT(TRIM(F170),2)="RM",IFERROR(IF(D170&gt;=DATE(2026,4,1),INDEX('LP RMH'!$F:$F,MATCH(TRIM(F170),'LP RMH'!$A:$A,0)),INDEX('LP RMH'!$E:$E,MATCH(TRIM(F170),'LP RMH'!$A:$A,0))),0),IFERROR(INDEX('LP MONCAR'!$E:$E,MATCH(TRIM(F170),'LP MONCAR'!$A:$A,0)),0)))</f>
        <v/>
      </c>
      <c r="K170" s="18" t="n">
        <v>10160</v>
      </c>
      <c r="L170" s="16" t="inlineStr">
        <is>
          <t>2026-03</t>
        </is>
      </c>
      <c r="M170" s="16" t="n"/>
      <c r="N170" s="20" t="n">
        <v>1313.3868</v>
      </c>
      <c r="O170" s="18" t="n">
        <v>8846.6132</v>
      </c>
      <c r="P170" s="16" t="inlineStr">
        <is>
          <t>DOVER</t>
        </is>
      </c>
      <c r="Q170" s="16" t="inlineStr">
        <is>
          <t>FERRETERIA</t>
        </is>
      </c>
      <c r="R170" s="16" t="n"/>
      <c r="S170" s="16" t="n"/>
      <c r="T170" s="16" t="n"/>
      <c r="U170" s="16" t="n"/>
    </row>
    <row r="171">
      <c r="A171" s="37" t="n"/>
      <c r="B171" s="16" t="n">
        <v>1959</v>
      </c>
      <c r="C171" s="16" t="inlineStr">
        <is>
          <t>Maxi</t>
        </is>
      </c>
      <c r="D171" s="17" t="n">
        <v>46082</v>
      </c>
      <c r="E171" s="16" t="inlineStr">
        <is>
          <t>MONCAR</t>
        </is>
      </c>
      <c r="F171" s="16" t="inlineStr">
        <is>
          <t>CF 765</t>
        </is>
      </c>
      <c r="G171" s="18" t="n">
        <v>2</v>
      </c>
      <c r="H171" s="16" t="inlineStr">
        <is>
          <t>FERRETERIA DEVOTO</t>
        </is>
      </c>
      <c r="I171" s="19" t="n"/>
      <c r="J171" s="18">
        <f>IF(TRIM(F171)="","",IF(LEFT(TRIM(F171),2)="RM",IFERROR(IF(D171&gt;=DATE(2026,4,1),INDEX('LP RMH'!$F:$F,MATCH(TRIM(F171),'LP RMH'!$A:$A,0)),INDEX('LP RMH'!$E:$E,MATCH(TRIM(F171),'LP RMH'!$A:$A,0))),0),IFERROR(INDEX('LP MONCAR'!$E:$E,MATCH(TRIM(F171),'LP MONCAR'!$A:$A,0)),0)))</f>
        <v/>
      </c>
      <c r="K171" s="18" t="n">
        <v>4600</v>
      </c>
      <c r="L171" s="16" t="inlineStr">
        <is>
          <t>2026-03</t>
        </is>
      </c>
      <c r="M171" s="16" t="n"/>
      <c r="N171" s="20" t="n">
        <v>596.994</v>
      </c>
      <c r="O171" s="18" t="n">
        <v>4003.006</v>
      </c>
      <c r="P171" s="16" t="inlineStr">
        <is>
          <t>DOWEN PAGGIO</t>
        </is>
      </c>
      <c r="Q171" s="16" t="inlineStr">
        <is>
          <t>FERRETERIA</t>
        </is>
      </c>
      <c r="R171" s="16" t="n"/>
      <c r="S171" s="16" t="n"/>
      <c r="T171" s="16" t="n"/>
      <c r="U171" s="16" t="n"/>
    </row>
    <row r="172">
      <c r="A172" s="37" t="n"/>
      <c r="B172" s="16" t="n">
        <v>1959</v>
      </c>
      <c r="C172" s="16" t="inlineStr">
        <is>
          <t>Maxi</t>
        </is>
      </c>
      <c r="D172" s="17" t="n">
        <v>46082</v>
      </c>
      <c r="E172" s="16" t="inlineStr">
        <is>
          <t>MONCAR</t>
        </is>
      </c>
      <c r="F172" s="16" t="inlineStr">
        <is>
          <t>CF 500</t>
        </is>
      </c>
      <c r="G172" s="18" t="n">
        <v>4</v>
      </c>
      <c r="H172" s="16" t="inlineStr">
        <is>
          <t>FERRETERIA DEVOTO</t>
        </is>
      </c>
      <c r="I172" s="19" t="n"/>
      <c r="J172" s="18">
        <f>IF(TRIM(F172)="","",IF(LEFT(TRIM(F172),2)="RM",IFERROR(IF(D172&gt;=DATE(2026,4,1),INDEX('LP RMH'!$F:$F,MATCH(TRIM(F172),'LP RMH'!$A:$A,0)),INDEX('LP RMH'!$E:$E,MATCH(TRIM(F172),'LP RMH'!$A:$A,0))),0),IFERROR(INDEX('LP MONCAR'!$E:$E,MATCH(TRIM(F172),'LP MONCAR'!$A:$A,0)),0)))</f>
        <v/>
      </c>
      <c r="K172" s="18" t="n">
        <v>8200</v>
      </c>
      <c r="L172" s="16" t="inlineStr">
        <is>
          <t>2026-03</t>
        </is>
      </c>
      <c r="M172" s="16" t="n"/>
      <c r="N172" s="20" t="n">
        <v>1074.5892</v>
      </c>
      <c r="O172" s="18" t="n">
        <v>7125.4108</v>
      </c>
      <c r="P172" s="16" t="inlineStr">
        <is>
          <t>STINGRAY</t>
        </is>
      </c>
      <c r="Q172" s="16" t="inlineStr">
        <is>
          <t>FERRETERIA</t>
        </is>
      </c>
      <c r="R172" s="16" t="n"/>
      <c r="S172" s="16" t="n"/>
      <c r="T172" s="16" t="n"/>
      <c r="U172" s="16" t="n"/>
    </row>
    <row r="173">
      <c r="A173" s="37" t="n"/>
      <c r="B173" s="16" t="n">
        <v>1</v>
      </c>
      <c r="C173" s="16" t="inlineStr">
        <is>
          <t>Franco</t>
        </is>
      </c>
      <c r="D173" s="17" t="n">
        <v>46039</v>
      </c>
      <c r="E173" s="16" t="inlineStr">
        <is>
          <t>MONCAR</t>
        </is>
      </c>
      <c r="F173" s="16" t="inlineStr">
        <is>
          <t>CE 021</t>
        </is>
      </c>
      <c r="G173" s="18" t="n">
        <v>5</v>
      </c>
      <c r="H173" s="16" t="inlineStr">
        <is>
          <t>FERRETERIA LISBOA</t>
        </is>
      </c>
      <c r="I173" s="19" t="n"/>
      <c r="J173" s="18">
        <f>IF(TRIM(F173)="","",IF(LEFT(TRIM(F173),2)="RM",IFERROR(IF(D173&gt;=DATE(2026,4,1),INDEX('LP RMH'!$F:$F,MATCH(TRIM(F173),'LP RMH'!$A:$A,0)),INDEX('LP RMH'!$E:$E,MATCH(TRIM(F173),'LP RMH'!$A:$A,0))),0),IFERROR(INDEX('LP MONCAR'!$E:$E,MATCH(TRIM(F173),'LP MONCAR'!$A:$A,0)),0)))</f>
        <v/>
      </c>
      <c r="K173" s="18" t="n">
        <v>23950</v>
      </c>
      <c r="L173" s="16" t="inlineStr">
        <is>
          <t>2026-01</t>
        </is>
      </c>
      <c r="M173" s="16" t="n"/>
      <c r="N173" s="20" t="n">
        <v>3432.7155</v>
      </c>
      <c r="O173" s="18" t="n">
        <v>20517.2845</v>
      </c>
      <c r="P173" s="16" t="inlineStr">
        <is>
          <t>ENCERADORA</t>
        </is>
      </c>
      <c r="Q173" s="16" t="inlineStr">
        <is>
          <t>FERRETERIA</t>
        </is>
      </c>
      <c r="R173" s="16" t="n"/>
      <c r="S173" s="16" t="inlineStr">
        <is>
          <t>Lujan</t>
        </is>
      </c>
      <c r="T173" s="16" t="inlineStr">
        <is>
          <t>Buenos Aires</t>
        </is>
      </c>
      <c r="U173" s="16" t="n"/>
    </row>
    <row r="174">
      <c r="A174" s="37" t="n"/>
      <c r="B174" s="16" t="n">
        <v>1</v>
      </c>
      <c r="C174" s="16" t="inlineStr">
        <is>
          <t>Franco</t>
        </is>
      </c>
      <c r="D174" s="17" t="n">
        <v>46039</v>
      </c>
      <c r="E174" s="16" t="inlineStr">
        <is>
          <t>MONCAR</t>
        </is>
      </c>
      <c r="F174" s="16" t="inlineStr">
        <is>
          <t>CF 027</t>
        </is>
      </c>
      <c r="G174" s="18" t="n">
        <v>5</v>
      </c>
      <c r="H174" s="16" t="inlineStr">
        <is>
          <t>FERRETERIA LISBOA</t>
        </is>
      </c>
      <c r="I174" s="19" t="n"/>
      <c r="J174" s="18">
        <f>IF(TRIM(F174)="","",IF(LEFT(TRIM(F174),2)="RM",IFERROR(IF(D174&gt;=DATE(2026,4,1),INDEX('LP RMH'!$F:$F,MATCH(TRIM(F174),'LP RMH'!$A:$A,0)),INDEX('LP RMH'!$E:$E,MATCH(TRIM(F174),'LP RMH'!$A:$A,0))),0),IFERROR(INDEX('LP MONCAR'!$E:$E,MATCH(TRIM(F174),'LP MONCAR'!$A:$A,0)),0)))</f>
        <v/>
      </c>
      <c r="K174" s="18" t="n">
        <v>22750</v>
      </c>
      <c r="L174" s="16" t="inlineStr">
        <is>
          <t>2026-01</t>
        </is>
      </c>
      <c r="M174" s="16" t="n"/>
      <c r="N174" s="20" t="n">
        <v>2686.473</v>
      </c>
      <c r="O174" s="18" t="n">
        <v>20063.527</v>
      </c>
      <c r="P174" s="16" t="inlineStr">
        <is>
          <t>DOVER</t>
        </is>
      </c>
      <c r="Q174" s="16" t="inlineStr">
        <is>
          <t>FERRETERIA</t>
        </is>
      </c>
      <c r="R174" s="16" t="n"/>
      <c r="S174" s="16" t="inlineStr">
        <is>
          <t>Lujan</t>
        </is>
      </c>
      <c r="T174" s="16" t="inlineStr">
        <is>
          <t>Buenos Aires</t>
        </is>
      </c>
      <c r="U174" s="16" t="n"/>
    </row>
    <row r="175">
      <c r="A175" s="37" t="n"/>
      <c r="B175" s="16" t="n">
        <v>1</v>
      </c>
      <c r="C175" s="16" t="inlineStr">
        <is>
          <t>Franco</t>
        </is>
      </c>
      <c r="D175" s="17" t="n">
        <v>46039</v>
      </c>
      <c r="E175" s="16" t="inlineStr">
        <is>
          <t>MONCAR</t>
        </is>
      </c>
      <c r="F175" s="16" t="inlineStr">
        <is>
          <t>CF 403</t>
        </is>
      </c>
      <c r="G175" s="18" t="n">
        <v>5</v>
      </c>
      <c r="H175" s="16" t="inlineStr">
        <is>
          <t>FERRETERIA LISBOA</t>
        </is>
      </c>
      <c r="I175" s="19" t="n"/>
      <c r="J175" s="18">
        <f>IF(TRIM(F175)="","",IF(LEFT(TRIM(F175),2)="RM",IFERROR(IF(D175&gt;=DATE(2026,4,1),INDEX('LP RMH'!$F:$F,MATCH(TRIM(F175),'LP RMH'!$A:$A,0)),INDEX('LP RMH'!$E:$E,MATCH(TRIM(F175),'LP RMH'!$A:$A,0))),0),IFERROR(INDEX('LP MONCAR'!$E:$E,MATCH(TRIM(F175),'LP MONCAR'!$A:$A,0)),0)))</f>
        <v/>
      </c>
      <c r="K175" s="18" t="n">
        <v>20200</v>
      </c>
      <c r="L175" s="16" t="inlineStr">
        <is>
          <t>2026-01</t>
        </is>
      </c>
      <c r="M175" s="16" t="n"/>
      <c r="N175" s="20" t="n"/>
      <c r="O175" s="18" t="n"/>
      <c r="P175" s="16" t="inlineStr">
        <is>
          <t>STANLEY</t>
        </is>
      </c>
      <c r="Q175" s="16" t="inlineStr">
        <is>
          <t>FERRETERIA</t>
        </is>
      </c>
      <c r="R175" s="16" t="n"/>
      <c r="S175" s="16" t="inlineStr">
        <is>
          <t>Lujan</t>
        </is>
      </c>
      <c r="T175" s="16" t="inlineStr">
        <is>
          <t>Buenos Aires</t>
        </is>
      </c>
      <c r="U175" s="16" t="n"/>
    </row>
    <row r="176">
      <c r="A176" s="37" t="n"/>
      <c r="B176" s="16" t="n">
        <v>1</v>
      </c>
      <c r="C176" s="16" t="inlineStr">
        <is>
          <t>Franco</t>
        </is>
      </c>
      <c r="D176" s="17" t="n">
        <v>46039</v>
      </c>
      <c r="E176" s="16" t="inlineStr">
        <is>
          <t>MONCAR</t>
        </is>
      </c>
      <c r="F176" s="16" t="inlineStr">
        <is>
          <t>CF 674</t>
        </is>
      </c>
      <c r="G176" s="18" t="n">
        <v>10</v>
      </c>
      <c r="H176" s="16" t="inlineStr">
        <is>
          <t>FERRETERIA LISBOA</t>
        </is>
      </c>
      <c r="I176" s="19" t="n"/>
      <c r="J176" s="18">
        <f>IF(TRIM(F176)="","",IF(LEFT(TRIM(F176),2)="RM",IFERROR(IF(D176&gt;=DATE(2026,4,1),INDEX('LP RMH'!$F:$F,MATCH(TRIM(F176),'LP RMH'!$A:$A,0)),INDEX('LP RMH'!$E:$E,MATCH(TRIM(F176),'LP RMH'!$A:$A,0))),0),IFERROR(INDEX('LP MONCAR'!$E:$E,MATCH(TRIM(F176),'LP MONCAR'!$A:$A,0)),0)))</f>
        <v/>
      </c>
      <c r="K176" s="18" t="n">
        <v>23000</v>
      </c>
      <c r="L176" s="16" t="inlineStr">
        <is>
          <t>2026-01</t>
        </is>
      </c>
      <c r="M176" s="16" t="n"/>
      <c r="N176" s="20" t="n">
        <v>2984.97</v>
      </c>
      <c r="O176" s="18" t="n">
        <v>20015.03</v>
      </c>
      <c r="P176" s="16" t="inlineStr">
        <is>
          <t>BLACK Y DECKER</t>
        </is>
      </c>
      <c r="Q176" s="16" t="inlineStr">
        <is>
          <t>FERRETERIA</t>
        </is>
      </c>
      <c r="R176" s="16" t="n"/>
      <c r="S176" s="16" t="inlineStr">
        <is>
          <t>Lujan</t>
        </is>
      </c>
      <c r="T176" s="16" t="inlineStr">
        <is>
          <t>Buenos Aires</t>
        </is>
      </c>
      <c r="U176" s="16" t="n"/>
    </row>
    <row r="177">
      <c r="A177" s="37" t="n"/>
      <c r="B177" s="16" t="n">
        <v>1</v>
      </c>
      <c r="C177" s="16" t="inlineStr">
        <is>
          <t>Franco</t>
        </is>
      </c>
      <c r="D177" s="17" t="n">
        <v>46039</v>
      </c>
      <c r="E177" s="16" t="inlineStr">
        <is>
          <t>MONCAR</t>
        </is>
      </c>
      <c r="F177" s="16" t="inlineStr">
        <is>
          <t>CF 881</t>
        </is>
      </c>
      <c r="G177" s="18" t="n">
        <v>5</v>
      </c>
      <c r="H177" s="16" t="inlineStr">
        <is>
          <t>FERRETERIA LISBOA</t>
        </is>
      </c>
      <c r="I177" s="19" t="n"/>
      <c r="J177" s="18">
        <f>IF(TRIM(F177)="","",IF(LEFT(TRIM(F177),2)="RM",IFERROR(IF(D177&gt;=DATE(2026,4,1),INDEX('LP RMH'!$F:$F,MATCH(TRIM(F177),'LP RMH'!$A:$A,0)),INDEX('LP RMH'!$E:$E,MATCH(TRIM(F177),'LP RMH'!$A:$A,0))),0),IFERROR(INDEX('LP MONCAR'!$E:$E,MATCH(TRIM(F177),'LP MONCAR'!$A:$A,0)),0)))</f>
        <v/>
      </c>
      <c r="K177" s="18" t="n">
        <v>18500</v>
      </c>
      <c r="L177" s="16" t="inlineStr">
        <is>
          <t>2026-01</t>
        </is>
      </c>
      <c r="M177" s="16" t="n"/>
      <c r="N177" s="20" t="n"/>
      <c r="O177" s="18" t="n"/>
      <c r="P177" s="16" t="inlineStr">
        <is>
          <t>NEO</t>
        </is>
      </c>
      <c r="Q177" s="16" t="inlineStr">
        <is>
          <t>FERRETERIA</t>
        </is>
      </c>
      <c r="R177" s="16" t="n"/>
      <c r="S177" s="16" t="inlineStr">
        <is>
          <t>Lujan</t>
        </is>
      </c>
      <c r="T177" s="16" t="inlineStr">
        <is>
          <t>Buenos Aires</t>
        </is>
      </c>
      <c r="U177" s="16" t="n"/>
    </row>
    <row r="178">
      <c r="A178" s="37" t="n"/>
      <c r="B178" s="16" t="n">
        <v>1</v>
      </c>
      <c r="C178" s="16" t="inlineStr">
        <is>
          <t>Franco</t>
        </is>
      </c>
      <c r="D178" s="17" t="n">
        <v>46039</v>
      </c>
      <c r="E178" s="16" t="inlineStr">
        <is>
          <t>MONCAR</t>
        </is>
      </c>
      <c r="F178" s="16" t="inlineStr">
        <is>
          <t>CF 192</t>
        </is>
      </c>
      <c r="G178" s="18" t="n">
        <v>5</v>
      </c>
      <c r="H178" s="16" t="inlineStr">
        <is>
          <t>FERRETERIA LISBOA</t>
        </is>
      </c>
      <c r="I178" s="19" t="n"/>
      <c r="J178" s="18">
        <f>IF(TRIM(F178)="","",IF(LEFT(TRIM(F178),2)="RM",IFERROR(IF(D178&gt;=DATE(2026,4,1),INDEX('LP RMH'!$F:$F,MATCH(TRIM(F178),'LP RMH'!$A:$A,0)),INDEX('LP RMH'!$E:$E,MATCH(TRIM(F178),'LP RMH'!$A:$A,0))),0),IFERROR(INDEX('LP MONCAR'!$E:$E,MATCH(TRIM(F178),'LP MONCAR'!$A:$A,0)),0)))</f>
        <v/>
      </c>
      <c r="K178" s="18" t="n">
        <v>15300</v>
      </c>
      <c r="L178" s="16" t="inlineStr">
        <is>
          <t>2026-01</t>
        </is>
      </c>
      <c r="M178" s="16" t="n"/>
      <c r="N178" s="20" t="n">
        <v>2089.479</v>
      </c>
      <c r="O178" s="18" t="n">
        <v>13210.521</v>
      </c>
      <c r="P178" s="16" t="inlineStr">
        <is>
          <t>DE WALT</t>
        </is>
      </c>
      <c r="Q178" s="16" t="inlineStr">
        <is>
          <t>FERRETERIA</t>
        </is>
      </c>
      <c r="R178" s="16" t="n"/>
      <c r="S178" s="16" t="inlineStr">
        <is>
          <t>Lujan</t>
        </is>
      </c>
      <c r="T178" s="16" t="inlineStr">
        <is>
          <t>Buenos Aires</t>
        </is>
      </c>
      <c r="U178" s="16" t="n"/>
    </row>
    <row r="179">
      <c r="A179" s="37" t="n"/>
      <c r="B179" s="16" t="n">
        <v>1</v>
      </c>
      <c r="C179" s="16" t="inlineStr">
        <is>
          <t>Franco</t>
        </is>
      </c>
      <c r="D179" s="17" t="n">
        <v>46039</v>
      </c>
      <c r="E179" s="16" t="inlineStr">
        <is>
          <t>MONCAR</t>
        </is>
      </c>
      <c r="F179" s="16" t="inlineStr">
        <is>
          <t>CF 658</t>
        </is>
      </c>
      <c r="G179" s="18" t="n">
        <v>5</v>
      </c>
      <c r="H179" s="16" t="inlineStr">
        <is>
          <t>FERRETERIA LISBOA</t>
        </is>
      </c>
      <c r="I179" s="19" t="n"/>
      <c r="J179" s="18">
        <f>IF(TRIM(F179)="","",IF(LEFT(TRIM(F179),2)="RM",IFERROR(IF(D179&gt;=DATE(2026,4,1),INDEX('LP RMH'!$F:$F,MATCH(TRIM(F179),'LP RMH'!$A:$A,0)),INDEX('LP RMH'!$E:$E,MATCH(TRIM(F179),'LP RMH'!$A:$A,0))),0),IFERROR(INDEX('LP MONCAR'!$E:$E,MATCH(TRIM(F179),'LP MONCAR'!$A:$A,0)),0)))</f>
        <v/>
      </c>
      <c r="K179" s="18" t="n">
        <v>12650</v>
      </c>
      <c r="L179" s="16" t="inlineStr">
        <is>
          <t>2026-01</t>
        </is>
      </c>
      <c r="M179" s="16" t="n"/>
      <c r="N179" s="20" t="n">
        <v>1641.7335</v>
      </c>
      <c r="O179" s="18" t="n">
        <v>11008.2665</v>
      </c>
      <c r="P179" s="16" t="inlineStr">
        <is>
          <t>SKIL</t>
        </is>
      </c>
      <c r="Q179" s="16" t="inlineStr">
        <is>
          <t>FERRETERIA</t>
        </is>
      </c>
      <c r="R179" s="16" t="n"/>
      <c r="S179" s="16" t="inlineStr">
        <is>
          <t>Lujan</t>
        </is>
      </c>
      <c r="T179" s="16" t="inlineStr">
        <is>
          <t>Buenos Aires</t>
        </is>
      </c>
      <c r="U179" s="16" t="n"/>
    </row>
    <row r="180">
      <c r="A180" s="37" t="n"/>
      <c r="B180" s="16" t="n">
        <v>1</v>
      </c>
      <c r="C180" s="16" t="inlineStr">
        <is>
          <t>Franco</t>
        </is>
      </c>
      <c r="D180" s="17" t="n">
        <v>46039</v>
      </c>
      <c r="E180" s="16" t="inlineStr">
        <is>
          <t>MONCAR</t>
        </is>
      </c>
      <c r="F180" s="16" t="inlineStr">
        <is>
          <t>CF 703</t>
        </is>
      </c>
      <c r="G180" s="18" t="n">
        <v>5</v>
      </c>
      <c r="H180" s="16" t="inlineStr">
        <is>
          <t>FERRETERIA LISBOA</t>
        </is>
      </c>
      <c r="I180" s="19" t="n"/>
      <c r="J180" s="18">
        <f>IF(TRIM(F180)="","",IF(LEFT(TRIM(F180),2)="RM",IFERROR(IF(D180&gt;=DATE(2026,4,1),INDEX('LP RMH'!$F:$F,MATCH(TRIM(F180),'LP RMH'!$A:$A,0)),INDEX('LP RMH'!$E:$E,MATCH(TRIM(F180),'LP RMH'!$A:$A,0))),0),IFERROR(INDEX('LP MONCAR'!$E:$E,MATCH(TRIM(F180),'LP MONCAR'!$A:$A,0)),0)))</f>
        <v/>
      </c>
      <c r="K180" s="18" t="n">
        <v>25650</v>
      </c>
      <c r="L180" s="16" t="inlineStr">
        <is>
          <t>2026-01</t>
        </is>
      </c>
      <c r="M180" s="16" t="n"/>
      <c r="N180" s="20" t="n"/>
      <c r="O180" s="18" t="n"/>
      <c r="P180" s="16" t="inlineStr">
        <is>
          <t>GAMMA</t>
        </is>
      </c>
      <c r="Q180" s="16" t="inlineStr">
        <is>
          <t>FERRETERIA</t>
        </is>
      </c>
      <c r="R180" s="16" t="n"/>
      <c r="S180" s="16" t="inlineStr">
        <is>
          <t>Lujan</t>
        </is>
      </c>
      <c r="T180" s="16" t="inlineStr">
        <is>
          <t>Buenos Aires</t>
        </is>
      </c>
      <c r="U180" s="16" t="n"/>
    </row>
    <row r="181">
      <c r="A181" s="37" t="n"/>
      <c r="B181" s="16" t="n">
        <v>1</v>
      </c>
      <c r="C181" s="16" t="inlineStr">
        <is>
          <t>Franco</t>
        </is>
      </c>
      <c r="D181" s="17" t="n">
        <v>46039</v>
      </c>
      <c r="E181" s="16" t="inlineStr">
        <is>
          <t>MONCAR</t>
        </is>
      </c>
      <c r="F181" s="16" t="inlineStr">
        <is>
          <t>CF 642</t>
        </is>
      </c>
      <c r="G181" s="18" t="n">
        <v>5</v>
      </c>
      <c r="H181" s="16" t="inlineStr">
        <is>
          <t>FERRETERIA LISBOA</t>
        </is>
      </c>
      <c r="I181" s="19" t="n"/>
      <c r="J181" s="18">
        <f>IF(TRIM(F181)="","",IF(LEFT(TRIM(F181),2)="RM",IFERROR(IF(D181&gt;=DATE(2026,4,1),INDEX('LP RMH'!$F:$F,MATCH(TRIM(F181),'LP RMH'!$A:$A,0)),INDEX('LP RMH'!$E:$E,MATCH(TRIM(F181),'LP RMH'!$A:$A,0))),0),IFERROR(INDEX('LP MONCAR'!$E:$E,MATCH(TRIM(F181),'LP MONCAR'!$A:$A,0)),0)))</f>
        <v/>
      </c>
      <c r="K181" s="18" t="n">
        <v>19450</v>
      </c>
      <c r="L181" s="16" t="inlineStr">
        <is>
          <t>2026-01</t>
        </is>
      </c>
      <c r="M181" s="16" t="n"/>
      <c r="N181" s="20" t="n"/>
      <c r="O181" s="18" t="n"/>
      <c r="P181" s="16" t="inlineStr">
        <is>
          <t>METABO</t>
        </is>
      </c>
      <c r="Q181" s="16" t="inlineStr">
        <is>
          <t>FERRETERIA</t>
        </is>
      </c>
      <c r="R181" s="16" t="n"/>
      <c r="S181" s="16" t="inlineStr">
        <is>
          <t>Lujan</t>
        </is>
      </c>
      <c r="T181" s="16" t="inlineStr">
        <is>
          <t>Buenos Aires</t>
        </is>
      </c>
      <c r="U181" s="16" t="n"/>
    </row>
    <row r="182">
      <c r="A182" s="37" t="n"/>
      <c r="B182" s="16" t="n">
        <v>1</v>
      </c>
      <c r="C182" s="16" t="inlineStr">
        <is>
          <t>Franco</t>
        </is>
      </c>
      <c r="D182" s="17" t="n">
        <v>46039</v>
      </c>
      <c r="E182" s="16" t="inlineStr">
        <is>
          <t>MONCAR</t>
        </is>
      </c>
      <c r="F182" s="16" t="inlineStr">
        <is>
          <t>CF 056</t>
        </is>
      </c>
      <c r="G182" s="18" t="n">
        <v>5</v>
      </c>
      <c r="H182" s="16" t="inlineStr">
        <is>
          <t>FERRETERIA LISBOA</t>
        </is>
      </c>
      <c r="I182" s="19" t="n"/>
      <c r="J182" s="18">
        <f>IF(TRIM(F182)="","",IF(LEFT(TRIM(F182),2)="RM",IFERROR(IF(D182&gt;=DATE(2026,4,1),INDEX('LP RMH'!$F:$F,MATCH(TRIM(F182),'LP RMH'!$A:$A,0)),INDEX('LP RMH'!$E:$E,MATCH(TRIM(F182),'LP RMH'!$A:$A,0))),0),IFERROR(INDEX('LP MONCAR'!$E:$E,MATCH(TRIM(F182),'LP MONCAR'!$A:$A,0)),0)))</f>
        <v/>
      </c>
      <c r="K182" s="18" t="n">
        <v>25850</v>
      </c>
      <c r="L182" s="16" t="inlineStr">
        <is>
          <t>2026-01</t>
        </is>
      </c>
      <c r="M182" s="16" t="n"/>
      <c r="N182" s="20" t="n">
        <v>3432.7155</v>
      </c>
      <c r="O182" s="18" t="n">
        <v>22417.2845</v>
      </c>
      <c r="P182" s="16" t="inlineStr">
        <is>
          <t>MAKITA</t>
        </is>
      </c>
      <c r="Q182" s="16" t="inlineStr">
        <is>
          <t>FERRETERIA</t>
        </is>
      </c>
      <c r="R182" s="16" t="n"/>
      <c r="S182" s="16" t="inlineStr">
        <is>
          <t>Lujan</t>
        </is>
      </c>
      <c r="T182" s="16" t="inlineStr">
        <is>
          <t>Buenos Aires</t>
        </is>
      </c>
      <c r="U182" s="16" t="n"/>
    </row>
    <row r="183">
      <c r="A183" s="37" t="n"/>
      <c r="B183" s="16" t="n">
        <v>1</v>
      </c>
      <c r="C183" s="16" t="inlineStr">
        <is>
          <t>Franco</t>
        </is>
      </c>
      <c r="D183" s="17" t="n">
        <v>46039</v>
      </c>
      <c r="E183" s="16" t="inlineStr">
        <is>
          <t>MONCAR</t>
        </is>
      </c>
      <c r="F183" s="16" t="inlineStr">
        <is>
          <t>CF 057</t>
        </is>
      </c>
      <c r="G183" s="18" t="n">
        <v>5</v>
      </c>
      <c r="H183" s="16" t="inlineStr">
        <is>
          <t>FERRETERIA LISBOA</t>
        </is>
      </c>
      <c r="I183" s="19" t="n"/>
      <c r="J183" s="18">
        <f>IF(TRIM(F183)="","",IF(LEFT(TRIM(F183),2)="RM",IFERROR(IF(D183&gt;=DATE(2026,4,1),INDEX('LP RMH'!$F:$F,MATCH(TRIM(F183),'LP RMH'!$A:$A,0)),INDEX('LP RMH'!$E:$E,MATCH(TRIM(F183),'LP RMH'!$A:$A,0))),0),IFERROR(INDEX('LP MONCAR'!$E:$E,MATCH(TRIM(F183),'LP MONCAR'!$A:$A,0)),0)))</f>
        <v/>
      </c>
      <c r="K183" s="18" t="n">
        <v>25850</v>
      </c>
      <c r="L183" s="16" t="inlineStr">
        <is>
          <t>2026-01</t>
        </is>
      </c>
      <c r="M183" s="16" t="n"/>
      <c r="N183" s="20" t="n">
        <v>3432.7155</v>
      </c>
      <c r="O183" s="18" t="n">
        <v>22417.2845</v>
      </c>
      <c r="P183" s="16" t="inlineStr">
        <is>
          <t>MAKITA</t>
        </is>
      </c>
      <c r="Q183" s="16" t="inlineStr">
        <is>
          <t>FERRETERIA</t>
        </is>
      </c>
      <c r="R183" s="16" t="n"/>
      <c r="S183" s="16" t="inlineStr">
        <is>
          <t>Lujan</t>
        </is>
      </c>
      <c r="T183" s="16" t="inlineStr">
        <is>
          <t>Buenos Aires</t>
        </is>
      </c>
      <c r="U183" s="16" t="n"/>
    </row>
    <row r="184">
      <c r="A184" s="37" t="n"/>
      <c r="B184" s="16" t="n">
        <v>1</v>
      </c>
      <c r="C184" s="16" t="inlineStr">
        <is>
          <t>Franco</t>
        </is>
      </c>
      <c r="D184" s="17" t="n">
        <v>46039</v>
      </c>
      <c r="E184" s="16" t="inlineStr">
        <is>
          <t>MONCAR</t>
        </is>
      </c>
      <c r="F184" s="16" t="inlineStr">
        <is>
          <t>CF 044</t>
        </is>
      </c>
      <c r="G184" s="18" t="n">
        <v>5</v>
      </c>
      <c r="H184" s="16" t="inlineStr">
        <is>
          <t>FERRETERIA LISBOA</t>
        </is>
      </c>
      <c r="I184" s="19" t="n"/>
      <c r="J184" s="18">
        <f>IF(TRIM(F184)="","",IF(LEFT(TRIM(F184),2)="RM",IFERROR(IF(D184&gt;=DATE(2026,4,1),INDEX('LP RMH'!$F:$F,MATCH(TRIM(F184),'LP RMH'!$A:$A,0)),INDEX('LP RMH'!$E:$E,MATCH(TRIM(F184),'LP RMH'!$A:$A,0))),0),IFERROR(INDEX('LP MONCAR'!$E:$E,MATCH(TRIM(F184),'LP MONCAR'!$A:$A,0)),0)))</f>
        <v/>
      </c>
      <c r="K184" s="18" t="n">
        <v>25150</v>
      </c>
      <c r="L184" s="16" t="inlineStr">
        <is>
          <t>2026-01</t>
        </is>
      </c>
      <c r="M184" s="16" t="n"/>
      <c r="N184" s="20" t="n">
        <v>3283.467</v>
      </c>
      <c r="O184" s="18" t="n">
        <v>21866.533</v>
      </c>
      <c r="P184" s="16" t="inlineStr">
        <is>
          <t>HITACHI</t>
        </is>
      </c>
      <c r="Q184" s="16" t="inlineStr">
        <is>
          <t>FERRETERIA</t>
        </is>
      </c>
      <c r="R184" s="16" t="n"/>
      <c r="S184" s="16" t="inlineStr">
        <is>
          <t>Lujan</t>
        </is>
      </c>
      <c r="T184" s="16" t="inlineStr">
        <is>
          <t>Buenos Aires</t>
        </is>
      </c>
      <c r="U184" s="16" t="n"/>
    </row>
    <row r="185">
      <c r="A185" s="37" t="n"/>
      <c r="B185" s="16" t="n">
        <v>2</v>
      </c>
      <c r="C185" s="16" t="inlineStr">
        <is>
          <t>Franco</t>
        </is>
      </c>
      <c r="D185" s="17" t="n">
        <v>46048</v>
      </c>
      <c r="E185" s="16" t="inlineStr">
        <is>
          <t>MONCAR</t>
        </is>
      </c>
      <c r="F185" s="16" t="inlineStr">
        <is>
          <t>CF 665</t>
        </is>
      </c>
      <c r="G185" s="18" t="n">
        <v>10</v>
      </c>
      <c r="H185" s="16" t="inlineStr">
        <is>
          <t>ELECTROMECÁNICA GARDEÑES</t>
        </is>
      </c>
      <c r="I185" s="19" t="n"/>
      <c r="J185" s="18">
        <f>IF(TRIM(F185)="","",IF(LEFT(TRIM(F185),2)="RM",IFERROR(IF(D185&gt;=DATE(2026,4,1),INDEX('LP RMH'!$F:$F,MATCH(TRIM(F185),'LP RMH'!$A:$A,0)),INDEX('LP RMH'!$E:$E,MATCH(TRIM(F185),'LP RMH'!$A:$A,0))),0),IFERROR(INDEX('LP MONCAR'!$E:$E,MATCH(TRIM(F185),'LP MONCAR'!$A:$A,0)),0)))</f>
        <v/>
      </c>
      <c r="K185" s="18" t="n">
        <v>23000</v>
      </c>
      <c r="L185" s="16" t="inlineStr">
        <is>
          <t>2026-01</t>
        </is>
      </c>
      <c r="M185" s="16" t="n"/>
      <c r="N185" s="20" t="n">
        <v>2984.97</v>
      </c>
      <c r="O185" s="18" t="n">
        <v>20015.03</v>
      </c>
      <c r="P185" s="16" t="inlineStr">
        <is>
          <t>BLACK Y DECKER</t>
        </is>
      </c>
      <c r="Q185" s="16" t="inlineStr">
        <is>
          <t>FERRETERIA</t>
        </is>
      </c>
      <c r="R185" s="16" t="n"/>
      <c r="S185" s="16" t="inlineStr">
        <is>
          <t>Venado Tuerto</t>
        </is>
      </c>
      <c r="T185" s="16" t="inlineStr">
        <is>
          <t>Santa Fe</t>
        </is>
      </c>
      <c r="U185" s="16" t="n"/>
    </row>
    <row r="186">
      <c r="A186" s="37" t="n"/>
      <c r="B186" s="16" t="n">
        <v>2</v>
      </c>
      <c r="C186" s="16" t="inlineStr">
        <is>
          <t>Franco</t>
        </is>
      </c>
      <c r="D186" s="17" t="n">
        <v>46048</v>
      </c>
      <c r="E186" s="16" t="inlineStr">
        <is>
          <t>MONCAR</t>
        </is>
      </c>
      <c r="F186" s="16" t="inlineStr">
        <is>
          <t>CF 674</t>
        </is>
      </c>
      <c r="G186" s="18" t="n">
        <v>10</v>
      </c>
      <c r="H186" s="16" t="inlineStr">
        <is>
          <t>ELECTROMECÁNICA GARDEÑES</t>
        </is>
      </c>
      <c r="I186" s="19" t="n"/>
      <c r="J186" s="18">
        <f>IF(TRIM(F186)="","",IF(LEFT(TRIM(F186),2)="RM",IFERROR(IF(D186&gt;=DATE(2026,4,1),INDEX('LP RMH'!$F:$F,MATCH(TRIM(F186),'LP RMH'!$A:$A,0)),INDEX('LP RMH'!$E:$E,MATCH(TRIM(F186),'LP RMH'!$A:$A,0))),0),IFERROR(INDEX('LP MONCAR'!$E:$E,MATCH(TRIM(F186),'LP MONCAR'!$A:$A,0)),0)))</f>
        <v/>
      </c>
      <c r="K186" s="18" t="n">
        <v>23000</v>
      </c>
      <c r="L186" s="16" t="inlineStr">
        <is>
          <t>2026-01</t>
        </is>
      </c>
      <c r="M186" s="16" t="n"/>
      <c r="N186" s="20" t="n">
        <v>2984.97</v>
      </c>
      <c r="O186" s="18" t="n">
        <v>20015.03</v>
      </c>
      <c r="P186" s="16" t="inlineStr">
        <is>
          <t>BLACK Y DECKER</t>
        </is>
      </c>
      <c r="Q186" s="16" t="inlineStr">
        <is>
          <t>FERRETERIA</t>
        </is>
      </c>
      <c r="R186" s="16" t="n"/>
      <c r="S186" s="16" t="inlineStr">
        <is>
          <t>Venado Tuerto</t>
        </is>
      </c>
      <c r="T186" s="16" t="inlineStr">
        <is>
          <t>Santa Fe</t>
        </is>
      </c>
      <c r="U186" s="16" t="n"/>
    </row>
    <row r="187">
      <c r="A187" s="37" t="n"/>
      <c r="B187" s="16" t="n">
        <v>2</v>
      </c>
      <c r="C187" s="16" t="inlineStr">
        <is>
          <t>Franco</t>
        </is>
      </c>
      <c r="D187" s="17" t="n">
        <v>46048</v>
      </c>
      <c r="E187" s="16" t="inlineStr">
        <is>
          <t>MONCAR</t>
        </is>
      </c>
      <c r="F187" s="16" t="inlineStr">
        <is>
          <t>CF 708</t>
        </is>
      </c>
      <c r="G187" s="18" t="n">
        <v>15</v>
      </c>
      <c r="H187" s="16" t="inlineStr">
        <is>
          <t>ELECTROMECÁNICA GARDEÑES</t>
        </is>
      </c>
      <c r="I187" s="19" t="n"/>
      <c r="J187" s="18">
        <f>IF(TRIM(F187)="","",IF(LEFT(TRIM(F187),2)="RM",IFERROR(IF(D187&gt;=DATE(2026,4,1),INDEX('LP RMH'!$F:$F,MATCH(TRIM(F187),'LP RMH'!$A:$A,0)),INDEX('LP RMH'!$E:$E,MATCH(TRIM(F187),'LP RMH'!$A:$A,0))),0),IFERROR(INDEX('LP MONCAR'!$E:$E,MATCH(TRIM(F187),'LP MONCAR'!$A:$A,0)),0)))</f>
        <v/>
      </c>
      <c r="K187" s="18" t="n">
        <v>65400</v>
      </c>
      <c r="L187" s="16" t="inlineStr">
        <is>
          <t>2026-01</t>
        </is>
      </c>
      <c r="M187" s="16" t="n"/>
      <c r="N187" s="20" t="n"/>
      <c r="O187" s="18" t="n"/>
      <c r="P187" s="16" t="inlineStr">
        <is>
          <t>GAMMA</t>
        </is>
      </c>
      <c r="Q187" s="16" t="inlineStr">
        <is>
          <t>FERRETERIA</t>
        </is>
      </c>
      <c r="R187" s="16" t="n"/>
      <c r="S187" s="16" t="inlineStr">
        <is>
          <t>Venado Tuerto</t>
        </is>
      </c>
      <c r="T187" s="16" t="inlineStr">
        <is>
          <t>Santa Fe</t>
        </is>
      </c>
      <c r="U187" s="16" t="n"/>
    </row>
    <row r="188">
      <c r="A188" s="37" t="n"/>
      <c r="B188" s="16" t="n">
        <v>2</v>
      </c>
      <c r="C188" s="16" t="inlineStr">
        <is>
          <t>Franco</t>
        </is>
      </c>
      <c r="D188" s="17" t="n">
        <v>46048</v>
      </c>
      <c r="E188" s="16" t="inlineStr">
        <is>
          <t>MONCAR</t>
        </is>
      </c>
      <c r="F188" s="16" t="inlineStr">
        <is>
          <t>CF 020</t>
        </is>
      </c>
      <c r="G188" s="18" t="n">
        <v>30</v>
      </c>
      <c r="H188" s="16" t="inlineStr">
        <is>
          <t>ELECTROMECÁNICA GARDEÑES</t>
        </is>
      </c>
      <c r="I188" s="19" t="n"/>
      <c r="J188" s="18">
        <f>IF(TRIM(F188)="","",IF(LEFT(TRIM(F188),2)="RM",IFERROR(IF(D188&gt;=DATE(2026,4,1),INDEX('LP RMH'!$F:$F,MATCH(TRIM(F188),'LP RMH'!$A:$A,0)),INDEX('LP RMH'!$E:$E,MATCH(TRIM(F188),'LP RMH'!$A:$A,0))),0),IFERROR(INDEX('LP MONCAR'!$E:$E,MATCH(TRIM(F188),'LP MONCAR'!$A:$A,0)),0)))</f>
        <v/>
      </c>
      <c r="K188" s="18" t="n">
        <v>153900</v>
      </c>
      <c r="L188" s="16" t="inlineStr">
        <is>
          <t>2026-01</t>
        </is>
      </c>
      <c r="M188" s="16" t="n"/>
      <c r="N188" s="20" t="n">
        <v>20596.293</v>
      </c>
      <c r="O188" s="18" t="n">
        <v>133303.707</v>
      </c>
      <c r="P188" s="16" t="inlineStr">
        <is>
          <t>BOSCH</t>
        </is>
      </c>
      <c r="Q188" s="16" t="inlineStr">
        <is>
          <t>FERRETERIA</t>
        </is>
      </c>
      <c r="R188" s="16" t="n"/>
      <c r="S188" s="16" t="inlineStr">
        <is>
          <t>Venado Tuerto</t>
        </is>
      </c>
      <c r="T188" s="16" t="inlineStr">
        <is>
          <t>Santa Fe</t>
        </is>
      </c>
      <c r="U188" s="16" t="n"/>
    </row>
    <row r="189">
      <c r="A189" s="37" t="n"/>
      <c r="B189" s="16" t="n">
        <v>2</v>
      </c>
      <c r="C189" s="16" t="inlineStr">
        <is>
          <t>Franco</t>
        </is>
      </c>
      <c r="D189" s="17" t="n">
        <v>46048</v>
      </c>
      <c r="E189" s="16" t="inlineStr">
        <is>
          <t>MONCAR</t>
        </is>
      </c>
      <c r="F189" s="16" t="inlineStr">
        <is>
          <t>CF 016</t>
        </is>
      </c>
      <c r="G189" s="18" t="n">
        <v>15</v>
      </c>
      <c r="H189" s="16" t="inlineStr">
        <is>
          <t>ELECTROMECÁNICA GARDEÑES</t>
        </is>
      </c>
      <c r="I189" s="19" t="n"/>
      <c r="J189" s="18">
        <f>IF(TRIM(F189)="","",IF(LEFT(TRIM(F189),2)="RM",IFERROR(IF(D189&gt;=DATE(2026,4,1),INDEX('LP RMH'!$F:$F,MATCH(TRIM(F189),'LP RMH'!$A:$A,0)),INDEX('LP RMH'!$E:$E,MATCH(TRIM(F189),'LP RMH'!$A:$A,0))),0),IFERROR(INDEX('LP MONCAR'!$E:$E,MATCH(TRIM(F189),'LP MONCAR'!$A:$A,0)),0)))</f>
        <v/>
      </c>
      <c r="K189" s="18" t="n">
        <v>76950</v>
      </c>
      <c r="L189" s="16" t="inlineStr">
        <is>
          <t>2026-01</t>
        </is>
      </c>
      <c r="M189" s="16" t="n"/>
      <c r="N189" s="20" t="n">
        <v>9850.401</v>
      </c>
      <c r="O189" s="18" t="n">
        <v>67099.599</v>
      </c>
      <c r="P189" s="16" t="inlineStr">
        <is>
          <t>BOSCH</t>
        </is>
      </c>
      <c r="Q189" s="16" t="inlineStr">
        <is>
          <t>FERRETERIA</t>
        </is>
      </c>
      <c r="R189" s="16" t="n"/>
      <c r="S189" s="16" t="inlineStr">
        <is>
          <t>Venado Tuerto</t>
        </is>
      </c>
      <c r="T189" s="16" t="inlineStr">
        <is>
          <t>Santa Fe</t>
        </is>
      </c>
      <c r="U189" s="16" t="n"/>
    </row>
    <row r="190">
      <c r="A190" s="37" t="n"/>
      <c r="B190" s="16" t="n">
        <v>2</v>
      </c>
      <c r="C190" s="16" t="inlineStr">
        <is>
          <t>Franco</t>
        </is>
      </c>
      <c r="D190" s="17" t="n">
        <v>46048</v>
      </c>
      <c r="E190" s="16" t="inlineStr">
        <is>
          <t>MONCAR</t>
        </is>
      </c>
      <c r="F190" s="16" t="inlineStr">
        <is>
          <t>CF 017</t>
        </is>
      </c>
      <c r="G190" s="18" t="n">
        <v>10</v>
      </c>
      <c r="H190" s="16" t="inlineStr">
        <is>
          <t>ELECTROMECÁNICA GARDEÑES</t>
        </is>
      </c>
      <c r="I190" s="19" t="n"/>
      <c r="J190" s="18">
        <f>IF(TRIM(F190)="","",IF(LEFT(TRIM(F190),2)="RM",IFERROR(IF(D190&gt;=DATE(2026,4,1),INDEX('LP RMH'!$F:$F,MATCH(TRIM(F190),'LP RMH'!$A:$A,0)),INDEX('LP RMH'!$E:$E,MATCH(TRIM(F190),'LP RMH'!$A:$A,0))),0),IFERROR(INDEX('LP MONCAR'!$E:$E,MATCH(TRIM(F190),'LP MONCAR'!$A:$A,0)),0)))</f>
        <v/>
      </c>
      <c r="K190" s="18" t="n">
        <v>34200</v>
      </c>
      <c r="L190" s="16" t="inlineStr">
        <is>
          <t>2026-01</t>
        </is>
      </c>
      <c r="M190" s="16" t="n"/>
      <c r="N190" s="20" t="n">
        <v>4477.455</v>
      </c>
      <c r="O190" s="18" t="n">
        <v>29722.545</v>
      </c>
      <c r="P190" s="16" t="inlineStr">
        <is>
          <t>BOSCH</t>
        </is>
      </c>
      <c r="Q190" s="16" t="inlineStr">
        <is>
          <t>FERRETERIA</t>
        </is>
      </c>
      <c r="R190" s="16" t="n"/>
      <c r="S190" s="16" t="inlineStr">
        <is>
          <t>Venado Tuerto</t>
        </is>
      </c>
      <c r="T190" s="16" t="inlineStr">
        <is>
          <t>Santa Fe</t>
        </is>
      </c>
      <c r="U190" s="16" t="n"/>
    </row>
    <row r="191">
      <c r="A191" s="37" t="n"/>
      <c r="B191" s="16" t="n">
        <v>2</v>
      </c>
      <c r="C191" s="16" t="inlineStr">
        <is>
          <t>Franco</t>
        </is>
      </c>
      <c r="D191" s="17" t="n">
        <v>46048</v>
      </c>
      <c r="E191" s="16" t="inlineStr">
        <is>
          <t>MONCAR</t>
        </is>
      </c>
      <c r="F191" s="16" t="inlineStr">
        <is>
          <t>CF 612</t>
        </is>
      </c>
      <c r="G191" s="18" t="n">
        <v>15</v>
      </c>
      <c r="H191" s="16" t="inlineStr">
        <is>
          <t>ELECTROMECÁNICA GARDEÑES</t>
        </is>
      </c>
      <c r="I191" s="19" t="n"/>
      <c r="J191" s="18">
        <f>IF(TRIM(F191)="","",IF(LEFT(TRIM(F191),2)="RM",IFERROR(IF(D191&gt;=DATE(2026,4,1),INDEX('LP RMH'!$F:$F,MATCH(TRIM(F191),'LP RMH'!$A:$A,0)),INDEX('LP RMH'!$E:$E,MATCH(TRIM(F191),'LP RMH'!$A:$A,0))),0),IFERROR(INDEX('LP MONCAR'!$E:$E,MATCH(TRIM(F191),'LP MONCAR'!$A:$A,0)),0)))</f>
        <v/>
      </c>
      <c r="K191" s="18" t="n">
        <v>55500</v>
      </c>
      <c r="L191" s="16" t="inlineStr">
        <is>
          <t>2026-01</t>
        </is>
      </c>
      <c r="M191" s="16" t="n"/>
      <c r="N191" s="20" t="n">
        <v>7611.673500000001</v>
      </c>
      <c r="O191" s="18" t="n">
        <v>47888.3265</v>
      </c>
      <c r="P191" s="16" t="inlineStr">
        <is>
          <t>BOSCH</t>
        </is>
      </c>
      <c r="Q191" s="16" t="inlineStr">
        <is>
          <t>FERRETERIA</t>
        </is>
      </c>
      <c r="R191" s="16" t="n"/>
      <c r="S191" s="16" t="inlineStr">
        <is>
          <t>Venado Tuerto</t>
        </is>
      </c>
      <c r="T191" s="16" t="inlineStr">
        <is>
          <t>Santa Fe</t>
        </is>
      </c>
      <c r="U191" s="16" t="n"/>
    </row>
    <row r="192">
      <c r="A192" s="37" t="n"/>
      <c r="B192" s="16" t="n">
        <v>2</v>
      </c>
      <c r="C192" s="16" t="inlineStr">
        <is>
          <t>Franco</t>
        </is>
      </c>
      <c r="D192" s="17" t="n">
        <v>46048</v>
      </c>
      <c r="E192" s="16" t="inlineStr">
        <is>
          <t>MONCAR</t>
        </is>
      </c>
      <c r="F192" s="16" t="inlineStr">
        <is>
          <t>CF 667</t>
        </is>
      </c>
      <c r="G192" s="18" t="n">
        <v>10</v>
      </c>
      <c r="H192" s="16" t="inlineStr">
        <is>
          <t>ELECTROMECÁNICA GARDEÑES</t>
        </is>
      </c>
      <c r="I192" s="19" t="n"/>
      <c r="J192" s="18">
        <f>IF(TRIM(F192)="","",IF(LEFT(TRIM(F192),2)="RM",IFERROR(IF(D192&gt;=DATE(2026,4,1),INDEX('LP RMH'!$F:$F,MATCH(TRIM(F192),'LP RMH'!$A:$A,0)),INDEX('LP RMH'!$E:$E,MATCH(TRIM(F192),'LP RMH'!$A:$A,0))),0),IFERROR(INDEX('LP MONCAR'!$E:$E,MATCH(TRIM(F192),'LP MONCAR'!$A:$A,0)),0)))</f>
        <v/>
      </c>
      <c r="K192" s="18" t="n">
        <v>34200</v>
      </c>
      <c r="L192" s="16" t="inlineStr">
        <is>
          <t>2026-01</t>
        </is>
      </c>
      <c r="M192" s="16" t="n"/>
      <c r="N192" s="20" t="n"/>
      <c r="O192" s="18" t="n"/>
      <c r="P192" s="16" t="inlineStr">
        <is>
          <t>BOSCH</t>
        </is>
      </c>
      <c r="Q192" s="16" t="inlineStr">
        <is>
          <t>FERRETERIA</t>
        </is>
      </c>
      <c r="R192" s="16" t="n"/>
      <c r="S192" s="16" t="inlineStr">
        <is>
          <t>Venado Tuerto</t>
        </is>
      </c>
      <c r="T192" s="16" t="inlineStr">
        <is>
          <t>Santa Fe</t>
        </is>
      </c>
      <c r="U192" s="16" t="n"/>
    </row>
    <row r="193">
      <c r="A193" s="37" t="n"/>
      <c r="B193" s="16" t="n">
        <v>2</v>
      </c>
      <c r="C193" s="16" t="inlineStr">
        <is>
          <t>Franco</t>
        </is>
      </c>
      <c r="D193" s="17" t="n">
        <v>46048</v>
      </c>
      <c r="E193" s="16" t="inlineStr">
        <is>
          <t>MONCAR</t>
        </is>
      </c>
      <c r="F193" s="16" t="inlineStr">
        <is>
          <t>CF 917</t>
        </is>
      </c>
      <c r="G193" s="18" t="n">
        <v>10</v>
      </c>
      <c r="H193" s="16" t="inlineStr">
        <is>
          <t>ELECTROMECÁNICA GARDEÑES</t>
        </is>
      </c>
      <c r="I193" s="19" t="n"/>
      <c r="J193" s="18">
        <f>IF(TRIM(F193)="","",IF(LEFT(TRIM(F193),2)="RM",IFERROR(IF(D193&gt;=DATE(2026,4,1),INDEX('LP RMH'!$F:$F,MATCH(TRIM(F193),'LP RMH'!$A:$A,0)),INDEX('LP RMH'!$E:$E,MATCH(TRIM(F193),'LP RMH'!$A:$A,0))),0),IFERROR(INDEX('LP MONCAR'!$E:$E,MATCH(TRIM(F193),'LP MONCAR'!$A:$A,0)),0)))</f>
        <v/>
      </c>
      <c r="K193" s="18" t="n">
        <v>36600</v>
      </c>
      <c r="L193" s="16" t="inlineStr">
        <is>
          <t>2026-01</t>
        </is>
      </c>
      <c r="M193" s="16" t="n"/>
      <c r="N193" s="20" t="n">
        <v>4775.952</v>
      </c>
      <c r="O193" s="18" t="n">
        <v>31824.048</v>
      </c>
      <c r="P193" s="16" t="inlineStr">
        <is>
          <t>BOSCH</t>
        </is>
      </c>
      <c r="Q193" s="16" t="inlineStr">
        <is>
          <t>FERRETERIA</t>
        </is>
      </c>
      <c r="R193" s="16" t="n"/>
      <c r="S193" s="16" t="inlineStr">
        <is>
          <t>Venado Tuerto</t>
        </is>
      </c>
      <c r="T193" s="16" t="inlineStr">
        <is>
          <t>Santa Fe</t>
        </is>
      </c>
      <c r="U193" s="16" t="n"/>
    </row>
    <row r="194">
      <c r="A194" s="37" t="n"/>
      <c r="B194" s="16" t="n">
        <v>2</v>
      </c>
      <c r="C194" s="16" t="inlineStr">
        <is>
          <t>Franco</t>
        </is>
      </c>
      <c r="D194" s="17" t="n">
        <v>46048</v>
      </c>
      <c r="E194" s="16" t="inlineStr">
        <is>
          <t>MONCAR</t>
        </is>
      </c>
      <c r="F194" s="16" t="inlineStr">
        <is>
          <t>CF 701</t>
        </is>
      </c>
      <c r="G194" s="18" t="n">
        <v>15</v>
      </c>
      <c r="H194" s="16" t="inlineStr">
        <is>
          <t>ELECTROMECÁNICA GARDEÑES</t>
        </is>
      </c>
      <c r="I194" s="19" t="n"/>
      <c r="J194" s="18">
        <f>IF(TRIM(F194)="","",IF(LEFT(TRIM(F194),2)="RM",IFERROR(IF(D194&gt;=DATE(2026,4,1),INDEX('LP RMH'!$F:$F,MATCH(TRIM(F194),'LP RMH'!$A:$A,0)),INDEX('LP RMH'!$E:$E,MATCH(TRIM(F194),'LP RMH'!$A:$A,0))),0),IFERROR(INDEX('LP MONCAR'!$E:$E,MATCH(TRIM(F194),'LP MONCAR'!$A:$A,0)),0)))</f>
        <v/>
      </c>
      <c r="K194" s="18" t="n">
        <v>34500</v>
      </c>
      <c r="L194" s="16" t="inlineStr">
        <is>
          <t>2026-01</t>
        </is>
      </c>
      <c r="M194" s="16" t="n"/>
      <c r="N194" s="20" t="n"/>
      <c r="O194" s="18" t="n"/>
      <c r="P194" s="16" t="inlineStr">
        <is>
          <t>GAMMA</t>
        </is>
      </c>
      <c r="Q194" s="16" t="inlineStr">
        <is>
          <t>FERRETERIA</t>
        </is>
      </c>
      <c r="R194" s="16" t="n"/>
      <c r="S194" s="16" t="inlineStr">
        <is>
          <t>Venado Tuerto</t>
        </is>
      </c>
      <c r="T194" s="16" t="inlineStr">
        <is>
          <t>Santa Fe</t>
        </is>
      </c>
      <c r="U194" s="16" t="n"/>
    </row>
    <row r="195">
      <c r="A195" s="37" t="n"/>
      <c r="B195" s="16" t="n">
        <v>2</v>
      </c>
      <c r="C195" s="16" t="inlineStr">
        <is>
          <t>Franco</t>
        </is>
      </c>
      <c r="D195" s="17" t="n">
        <v>46048</v>
      </c>
      <c r="E195" s="16" t="inlineStr">
        <is>
          <t>MONCAR</t>
        </is>
      </c>
      <c r="F195" s="16" t="inlineStr">
        <is>
          <t>CF 659</t>
        </is>
      </c>
      <c r="G195" s="18" t="n">
        <v>10</v>
      </c>
      <c r="H195" s="16" t="inlineStr">
        <is>
          <t>ELECTROMECÁNICA GARDEÑES</t>
        </is>
      </c>
      <c r="I195" s="19" t="n"/>
      <c r="J195" s="18">
        <f>IF(TRIM(F195)="","",IF(LEFT(TRIM(F195),2)="RM",IFERROR(IF(D195&gt;=DATE(2026,4,1),INDEX('LP RMH'!$F:$F,MATCH(TRIM(F195),'LP RMH'!$A:$A,0)),INDEX('LP RMH'!$E:$E,MATCH(TRIM(F195),'LP RMH'!$A:$A,0))),0),IFERROR(INDEX('LP MONCAR'!$E:$E,MATCH(TRIM(F195),'LP MONCAR'!$A:$A,0)),0)))</f>
        <v/>
      </c>
      <c r="K195" s="18" t="n">
        <v>23000</v>
      </c>
      <c r="L195" s="16" t="inlineStr">
        <is>
          <t>2026-01</t>
        </is>
      </c>
      <c r="M195" s="16" t="n"/>
      <c r="N195" s="20" t="n">
        <v>3283.467</v>
      </c>
      <c r="O195" s="18" t="n">
        <v>19716.533</v>
      </c>
      <c r="P195" s="16" t="inlineStr">
        <is>
          <t>SKIL</t>
        </is>
      </c>
      <c r="Q195" s="16" t="inlineStr">
        <is>
          <t>FERRETERIA</t>
        </is>
      </c>
      <c r="R195" s="16" t="n"/>
      <c r="S195" s="16" t="inlineStr">
        <is>
          <t>Venado Tuerto</t>
        </is>
      </c>
      <c r="T195" s="16" t="inlineStr">
        <is>
          <t>Santa Fe</t>
        </is>
      </c>
      <c r="U195" s="16" t="n"/>
    </row>
    <row r="196">
      <c r="A196" s="37" t="n"/>
      <c r="B196" s="16" t="n">
        <v>2</v>
      </c>
      <c r="C196" s="16" t="inlineStr">
        <is>
          <t>Franco</t>
        </is>
      </c>
      <c r="D196" s="17" t="n">
        <v>46048</v>
      </c>
      <c r="E196" s="16" t="inlineStr">
        <is>
          <t>MONCAR</t>
        </is>
      </c>
      <c r="F196" s="16" t="inlineStr">
        <is>
          <t>CF 655</t>
        </is>
      </c>
      <c r="G196" s="18" t="n">
        <v>10</v>
      </c>
      <c r="H196" s="16" t="inlineStr">
        <is>
          <t>ELECTROMECÁNICA GARDEÑES</t>
        </is>
      </c>
      <c r="I196" s="19" t="n"/>
      <c r="J196" s="18">
        <f>IF(TRIM(F196)="","",IF(LEFT(TRIM(F196),2)="RM",IFERROR(IF(D196&gt;=DATE(2026,4,1),INDEX('LP RMH'!$F:$F,MATCH(TRIM(F196),'LP RMH'!$A:$A,0)),INDEX('LP RMH'!$E:$E,MATCH(TRIM(F196),'LP RMH'!$A:$A,0))),0),IFERROR(INDEX('LP MONCAR'!$E:$E,MATCH(TRIM(F196),'LP MONCAR'!$A:$A,0)),0)))</f>
        <v/>
      </c>
      <c r="K196" s="18" t="n">
        <v>25300</v>
      </c>
      <c r="L196" s="16" t="inlineStr">
        <is>
          <t>2026-01</t>
        </is>
      </c>
      <c r="M196" s="16" t="n"/>
      <c r="N196" s="20" t="n">
        <v>3283.467</v>
      </c>
      <c r="O196" s="18" t="n">
        <v>22016.533</v>
      </c>
      <c r="P196" s="16" t="inlineStr">
        <is>
          <t>SKIL</t>
        </is>
      </c>
      <c r="Q196" s="16" t="inlineStr">
        <is>
          <t>FERRETERIA</t>
        </is>
      </c>
      <c r="R196" s="16" t="n"/>
      <c r="S196" s="16" t="inlineStr">
        <is>
          <t>Venado Tuerto</t>
        </is>
      </c>
      <c r="T196" s="16" t="inlineStr">
        <is>
          <t>Santa Fe</t>
        </is>
      </c>
      <c r="U196" s="16" t="n"/>
    </row>
    <row r="197">
      <c r="A197" s="37" t="n"/>
      <c r="B197" s="16" t="n">
        <v>2</v>
      </c>
      <c r="C197" s="16" t="inlineStr">
        <is>
          <t>Franco</t>
        </is>
      </c>
      <c r="D197" s="17" t="n">
        <v>46048</v>
      </c>
      <c r="E197" s="16" t="inlineStr">
        <is>
          <t>MONCAR</t>
        </is>
      </c>
      <c r="F197" s="16" t="inlineStr">
        <is>
          <t>CF 658</t>
        </is>
      </c>
      <c r="G197" s="18" t="n">
        <v>10</v>
      </c>
      <c r="H197" s="16" t="inlineStr">
        <is>
          <t>ELECTROMECÁNICA GARDEÑES</t>
        </is>
      </c>
      <c r="I197" s="19" t="n"/>
      <c r="J197" s="18">
        <f>IF(TRIM(F197)="","",IF(LEFT(TRIM(F197),2)="RM",IFERROR(IF(D197&gt;=DATE(2026,4,1),INDEX('LP RMH'!$F:$F,MATCH(TRIM(F197),'LP RMH'!$A:$A,0)),INDEX('LP RMH'!$E:$E,MATCH(TRIM(F197),'LP RMH'!$A:$A,0))),0),IFERROR(INDEX('LP MONCAR'!$E:$E,MATCH(TRIM(F197),'LP MONCAR'!$A:$A,0)),0)))</f>
        <v/>
      </c>
      <c r="K197" s="18" t="n">
        <v>25300</v>
      </c>
      <c r="L197" s="16" t="inlineStr">
        <is>
          <t>2026-01</t>
        </is>
      </c>
      <c r="M197" s="16" t="n"/>
      <c r="N197" s="20" t="n">
        <v>3283.467</v>
      </c>
      <c r="O197" s="18" t="n">
        <v>22016.533</v>
      </c>
      <c r="P197" s="16" t="inlineStr">
        <is>
          <t>SKIL</t>
        </is>
      </c>
      <c r="Q197" s="16" t="inlineStr">
        <is>
          <t>FERRETERIA</t>
        </is>
      </c>
      <c r="R197" s="16" t="n"/>
      <c r="S197" s="16" t="inlineStr">
        <is>
          <t>Venado Tuerto</t>
        </is>
      </c>
      <c r="T197" s="16" t="inlineStr">
        <is>
          <t>Santa Fe</t>
        </is>
      </c>
      <c r="U197" s="16" t="n"/>
    </row>
    <row r="198">
      <c r="A198" s="37" t="n"/>
      <c r="B198" s="16" t="n">
        <v>2</v>
      </c>
      <c r="C198" s="16" t="inlineStr">
        <is>
          <t>Franco</t>
        </is>
      </c>
      <c r="D198" s="17" t="n">
        <v>46048</v>
      </c>
      <c r="E198" s="16" t="inlineStr">
        <is>
          <t>MONCAR</t>
        </is>
      </c>
      <c r="F198" s="16" t="inlineStr">
        <is>
          <t>CF 668</t>
        </is>
      </c>
      <c r="G198" s="18" t="n">
        <v>10</v>
      </c>
      <c r="H198" s="16" t="inlineStr">
        <is>
          <t>ELECTROMECÁNICA GARDEÑES</t>
        </is>
      </c>
      <c r="I198" s="19" t="n"/>
      <c r="J198" s="18">
        <f>IF(TRIM(F198)="","",IF(LEFT(TRIM(F198),2)="RM",IFERROR(IF(D198&gt;=DATE(2026,4,1),INDEX('LP RMH'!$F:$F,MATCH(TRIM(F198),'LP RMH'!$A:$A,0)),INDEX('LP RMH'!$E:$E,MATCH(TRIM(F198),'LP RMH'!$A:$A,0))),0),IFERROR(INDEX('LP MONCAR'!$E:$E,MATCH(TRIM(F198),'LP MONCAR'!$A:$A,0)),0)))</f>
        <v/>
      </c>
      <c r="K198" s="18" t="n">
        <v>57300</v>
      </c>
      <c r="L198" s="16" t="inlineStr">
        <is>
          <t>2026-01</t>
        </is>
      </c>
      <c r="M198" s="16" t="n"/>
      <c r="N198" s="20" t="n">
        <v>7462.424999999999</v>
      </c>
      <c r="O198" s="18" t="n">
        <v>49837.575</v>
      </c>
      <c r="P198" s="16" t="inlineStr">
        <is>
          <t>BOSCH</t>
        </is>
      </c>
      <c r="Q198" s="16" t="inlineStr">
        <is>
          <t>FERRETERIA</t>
        </is>
      </c>
      <c r="R198" s="16" t="n"/>
      <c r="S198" s="16" t="inlineStr">
        <is>
          <t>Venado Tuerto</t>
        </is>
      </c>
      <c r="T198" s="16" t="inlineStr">
        <is>
          <t>Santa Fe</t>
        </is>
      </c>
      <c r="U198" s="16" t="n"/>
    </row>
    <row r="199">
      <c r="A199" s="37" t="n"/>
      <c r="B199" s="16" t="n">
        <v>4001</v>
      </c>
      <c r="C199" s="16" t="inlineStr">
        <is>
          <t>Franco</t>
        </is>
      </c>
      <c r="D199" s="17" t="n">
        <v>46050</v>
      </c>
      <c r="E199" s="16" t="inlineStr">
        <is>
          <t>MONCAR</t>
        </is>
      </c>
      <c r="F199" s="16" t="inlineStr">
        <is>
          <t>CF 556</t>
        </is>
      </c>
      <c r="G199" s="18" t="n">
        <v>12</v>
      </c>
      <c r="H199" s="16" t="inlineStr">
        <is>
          <t>MECAN</t>
        </is>
      </c>
      <c r="I199" s="19" t="n"/>
      <c r="J199" s="18">
        <f>IF(TRIM(F199)="","",IF(LEFT(TRIM(F199),2)="RM",IFERROR(IF(D199&gt;=DATE(2026,4,1),INDEX('LP RMH'!$F:$F,MATCH(TRIM(F199),'LP RMH'!$A:$A,0)),INDEX('LP RMH'!$E:$E,MATCH(TRIM(F199),'LP RMH'!$A:$A,0))),0),IFERROR(INDEX('LP MONCAR'!$E:$E,MATCH(TRIM(F199),'LP MONCAR'!$A:$A,0)),0)))</f>
        <v/>
      </c>
      <c r="K199" s="18" t="n">
        <v>44400</v>
      </c>
      <c r="L199" s="16" t="inlineStr">
        <is>
          <t>2026-01</t>
        </is>
      </c>
      <c r="M199" s="16" t="n"/>
      <c r="N199" s="20" t="n">
        <v>5731.142400000001</v>
      </c>
      <c r="O199" s="18" t="n">
        <v>38668.8576</v>
      </c>
      <c r="P199" s="16" t="inlineStr">
        <is>
          <t>MAKITA</t>
        </is>
      </c>
      <c r="Q199" s="16" t="inlineStr">
        <is>
          <t>FERRETERIA</t>
        </is>
      </c>
      <c r="R199" s="16" t="n"/>
      <c r="S199" s="16" t="inlineStr">
        <is>
          <t>Venado Tuerto</t>
        </is>
      </c>
      <c r="T199" s="16" t="inlineStr">
        <is>
          <t>Santa Fe</t>
        </is>
      </c>
      <c r="U199" s="16" t="n"/>
    </row>
    <row r="200">
      <c r="A200" s="37" t="n"/>
      <c r="B200" s="16" t="n">
        <v>4001</v>
      </c>
      <c r="C200" s="16" t="inlineStr">
        <is>
          <t>Franco</t>
        </is>
      </c>
      <c r="D200" s="17" t="n">
        <v>46050</v>
      </c>
      <c r="E200" s="16" t="inlineStr">
        <is>
          <t>MONCAR</t>
        </is>
      </c>
      <c r="F200" s="16" t="inlineStr">
        <is>
          <t>CF 181</t>
        </is>
      </c>
      <c r="G200" s="18" t="n">
        <v>12</v>
      </c>
      <c r="H200" s="16" t="inlineStr">
        <is>
          <t>MECAN</t>
        </is>
      </c>
      <c r="I200" s="19" t="n"/>
      <c r="J200" s="18">
        <f>IF(TRIM(F200)="","",IF(LEFT(TRIM(F200),2)="RM",IFERROR(IF(D200&gt;=DATE(2026,4,1),INDEX('LP RMH'!$F:$F,MATCH(TRIM(F200),'LP RMH'!$A:$A,0)),INDEX('LP RMH'!$E:$E,MATCH(TRIM(F200),'LP RMH'!$A:$A,0))),0),IFERROR(INDEX('LP MONCAR'!$E:$E,MATCH(TRIM(F200),'LP MONCAR'!$A:$A,0)),0)))</f>
        <v/>
      </c>
      <c r="K200" s="18" t="n">
        <v>42600</v>
      </c>
      <c r="L200" s="16" t="inlineStr">
        <is>
          <t>2026-01</t>
        </is>
      </c>
      <c r="M200" s="16" t="n"/>
      <c r="N200" s="20" t="n">
        <v>5731.142400000001</v>
      </c>
      <c r="O200" s="18" t="n">
        <v>36868.8576</v>
      </c>
      <c r="P200" s="16" t="inlineStr">
        <is>
          <t>DE WALT</t>
        </is>
      </c>
      <c r="Q200" s="16" t="inlineStr">
        <is>
          <t>FERRETERIA</t>
        </is>
      </c>
      <c r="R200" s="16" t="n"/>
      <c r="S200" s="16" t="inlineStr">
        <is>
          <t>Venado Tuerto</t>
        </is>
      </c>
      <c r="T200" s="16" t="inlineStr">
        <is>
          <t>Santa Fe</t>
        </is>
      </c>
      <c r="U200" s="16" t="n"/>
    </row>
    <row r="201">
      <c r="A201" s="37" t="n"/>
      <c r="B201" s="16" t="n">
        <v>4001</v>
      </c>
      <c r="C201" s="16" t="inlineStr">
        <is>
          <t>Franco</t>
        </is>
      </c>
      <c r="D201" s="17" t="n">
        <v>46050</v>
      </c>
      <c r="E201" s="16" t="inlineStr">
        <is>
          <t>MONCAR</t>
        </is>
      </c>
      <c r="F201" s="16" t="inlineStr">
        <is>
          <t>CF 183</t>
        </is>
      </c>
      <c r="G201" s="18" t="n">
        <v>18</v>
      </c>
      <c r="H201" s="16" t="inlineStr">
        <is>
          <t>MECAN</t>
        </is>
      </c>
      <c r="I201" s="19" t="n"/>
      <c r="J201" s="18">
        <f>IF(TRIM(F201)="","",IF(LEFT(TRIM(F201),2)="RM",IFERROR(IF(D201&gt;=DATE(2026,4,1),INDEX('LP RMH'!$F:$F,MATCH(TRIM(F201),'LP RMH'!$A:$A,0)),INDEX('LP RMH'!$E:$E,MATCH(TRIM(F201),'LP RMH'!$A:$A,0))),0),IFERROR(INDEX('LP MONCAR'!$E:$E,MATCH(TRIM(F201),'LP MONCAR'!$A:$A,0)),0)))</f>
        <v/>
      </c>
      <c r="K201" s="18" t="n">
        <v>95400</v>
      </c>
      <c r="L201" s="16" t="inlineStr">
        <is>
          <t>2026-01</t>
        </is>
      </c>
      <c r="M201" s="16" t="n"/>
      <c r="N201" s="20" t="n">
        <v>12357.7758</v>
      </c>
      <c r="O201" s="18" t="n">
        <v>83042.2242</v>
      </c>
      <c r="P201" s="16" t="inlineStr">
        <is>
          <t>DE WALT</t>
        </is>
      </c>
      <c r="Q201" s="16" t="inlineStr">
        <is>
          <t>FERRETERIA</t>
        </is>
      </c>
      <c r="R201" s="16" t="n"/>
      <c r="S201" s="16" t="inlineStr">
        <is>
          <t>Venado Tuerto</t>
        </is>
      </c>
      <c r="T201" s="16" t="inlineStr">
        <is>
          <t>Santa Fe</t>
        </is>
      </c>
      <c r="U201" s="16" t="n"/>
    </row>
    <row r="202">
      <c r="A202" s="37" t="n"/>
      <c r="B202" s="16" t="n">
        <v>4001</v>
      </c>
      <c r="C202" s="16" t="inlineStr">
        <is>
          <t>Franco</t>
        </is>
      </c>
      <c r="D202" s="17" t="n">
        <v>46050</v>
      </c>
      <c r="E202" s="16" t="inlineStr">
        <is>
          <t>MONCAR</t>
        </is>
      </c>
      <c r="F202" s="16" t="inlineStr">
        <is>
          <t>CF 017</t>
        </is>
      </c>
      <c r="G202" s="18" t="n">
        <v>18</v>
      </c>
      <c r="H202" s="16" t="inlineStr">
        <is>
          <t>MECAN</t>
        </is>
      </c>
      <c r="I202" s="19" t="n"/>
      <c r="J202" s="18">
        <f>IF(TRIM(F202)="","",IF(LEFT(TRIM(F202),2)="RM",IFERROR(IF(D202&gt;=DATE(2026,4,1),INDEX('LP RMH'!$F:$F,MATCH(TRIM(F202),'LP RMH'!$A:$A,0)),INDEX('LP RMH'!$E:$E,MATCH(TRIM(F202),'LP RMH'!$A:$A,0))),0),IFERROR(INDEX('LP MONCAR'!$E:$E,MATCH(TRIM(F202),'LP MONCAR'!$A:$A,0)),0)))</f>
        <v/>
      </c>
      <c r="K202" s="18" t="n">
        <v>61560</v>
      </c>
      <c r="L202" s="16" t="inlineStr">
        <is>
          <t>2026-01</t>
        </is>
      </c>
      <c r="M202" s="16" t="n"/>
      <c r="N202" s="20" t="n">
        <v>8059.419</v>
      </c>
      <c r="O202" s="18" t="n">
        <v>53500.581</v>
      </c>
      <c r="P202" s="16" t="inlineStr">
        <is>
          <t>BOSCH</t>
        </is>
      </c>
      <c r="Q202" s="16" t="inlineStr">
        <is>
          <t>FERRETERIA</t>
        </is>
      </c>
      <c r="R202" s="16" t="n"/>
      <c r="S202" s="16" t="inlineStr">
        <is>
          <t>Venado Tuerto</t>
        </is>
      </c>
      <c r="T202" s="16" t="inlineStr">
        <is>
          <t>Santa Fe</t>
        </is>
      </c>
      <c r="U202" s="16" t="n"/>
    </row>
    <row r="203">
      <c r="A203" s="37" t="n"/>
      <c r="B203" s="16" t="n">
        <v>4001</v>
      </c>
      <c r="C203" s="16" t="inlineStr">
        <is>
          <t>Franco</t>
        </is>
      </c>
      <c r="D203" s="17" t="n">
        <v>46050</v>
      </c>
      <c r="E203" s="16" t="inlineStr">
        <is>
          <t>MONCAR</t>
        </is>
      </c>
      <c r="F203" s="16" t="inlineStr">
        <is>
          <t>CF 020</t>
        </is>
      </c>
      <c r="G203" s="18" t="n">
        <v>18</v>
      </c>
      <c r="H203" s="16" t="inlineStr">
        <is>
          <t>MECAN</t>
        </is>
      </c>
      <c r="I203" s="19" t="n"/>
      <c r="J203" s="18">
        <f>IF(TRIM(F203)="","",IF(LEFT(TRIM(F203),2)="RM",IFERROR(IF(D203&gt;=DATE(2026,4,1),INDEX('LP RMH'!$F:$F,MATCH(TRIM(F203),'LP RMH'!$A:$A,0)),INDEX('LP RMH'!$E:$E,MATCH(TRIM(F203),'LP RMH'!$A:$A,0))),0),IFERROR(INDEX('LP MONCAR'!$E:$E,MATCH(TRIM(F203),'LP MONCAR'!$A:$A,0)),0)))</f>
        <v/>
      </c>
      <c r="K203" s="18" t="n">
        <v>92340</v>
      </c>
      <c r="L203" s="16" t="inlineStr">
        <is>
          <t>2026-01</t>
        </is>
      </c>
      <c r="M203" s="16" t="n"/>
      <c r="N203" s="20" t="n">
        <v>12357.7758</v>
      </c>
      <c r="O203" s="18" t="n">
        <v>79982.2242</v>
      </c>
      <c r="P203" s="16" t="inlineStr">
        <is>
          <t>BOSCH</t>
        </is>
      </c>
      <c r="Q203" s="16" t="inlineStr">
        <is>
          <t>FERRETERIA</t>
        </is>
      </c>
      <c r="R203" s="16" t="n"/>
      <c r="S203" s="16" t="inlineStr">
        <is>
          <t>Venado Tuerto</t>
        </is>
      </c>
      <c r="T203" s="16" t="inlineStr">
        <is>
          <t>Santa Fe</t>
        </is>
      </c>
      <c r="U203" s="16" t="n"/>
    </row>
    <row r="204">
      <c r="A204" s="37" t="n"/>
      <c r="B204" s="16" t="n">
        <v>4001</v>
      </c>
      <c r="C204" s="16" t="inlineStr">
        <is>
          <t>Franco</t>
        </is>
      </c>
      <c r="D204" s="17" t="n">
        <v>46050</v>
      </c>
      <c r="E204" s="16" t="inlineStr">
        <is>
          <t>MONCAR</t>
        </is>
      </c>
      <c r="F204" s="16" t="inlineStr">
        <is>
          <t>CF 658</t>
        </is>
      </c>
      <c r="G204" s="18" t="n">
        <v>12</v>
      </c>
      <c r="H204" s="16" t="inlineStr">
        <is>
          <t>MECAN</t>
        </is>
      </c>
      <c r="I204" s="19" t="n"/>
      <c r="J204" s="18">
        <f>IF(TRIM(F204)="","",IF(LEFT(TRIM(F204),2)="RM",IFERROR(IF(D204&gt;=DATE(2026,4,1),INDEX('LP RMH'!$F:$F,MATCH(TRIM(F204),'LP RMH'!$A:$A,0)),INDEX('LP RMH'!$E:$E,MATCH(TRIM(F204),'LP RMH'!$A:$A,0))),0),IFERROR(INDEX('LP MONCAR'!$E:$E,MATCH(TRIM(F204),'LP MONCAR'!$A:$A,0)),0)))</f>
        <v/>
      </c>
      <c r="K204" s="18" t="n">
        <v>30360</v>
      </c>
      <c r="L204" s="16" t="inlineStr">
        <is>
          <t>2026-01</t>
        </is>
      </c>
      <c r="M204" s="16" t="n"/>
      <c r="N204" s="20" t="n">
        <v>3940.1604</v>
      </c>
      <c r="O204" s="18" t="n">
        <v>26419.8396</v>
      </c>
      <c r="P204" s="16" t="inlineStr">
        <is>
          <t>SKIL</t>
        </is>
      </c>
      <c r="Q204" s="16" t="inlineStr">
        <is>
          <t>FERRETERIA</t>
        </is>
      </c>
      <c r="R204" s="16" t="n"/>
      <c r="S204" s="16" t="inlineStr">
        <is>
          <t>Venado Tuerto</t>
        </is>
      </c>
      <c r="T204" s="16" t="inlineStr">
        <is>
          <t>Santa Fe</t>
        </is>
      </c>
      <c r="U204" s="16" t="n"/>
    </row>
    <row r="205">
      <c r="A205" s="37" t="n"/>
      <c r="B205" s="16" t="n">
        <v>4001</v>
      </c>
      <c r="C205" s="16" t="inlineStr">
        <is>
          <t>Franco</t>
        </is>
      </c>
      <c r="D205" s="17" t="n">
        <v>46050</v>
      </c>
      <c r="E205" s="16" t="inlineStr">
        <is>
          <t>MONCAR</t>
        </is>
      </c>
      <c r="F205" s="16" t="inlineStr">
        <is>
          <t>CF 659</t>
        </is>
      </c>
      <c r="G205" s="18" t="n">
        <v>12</v>
      </c>
      <c r="H205" s="16" t="inlineStr">
        <is>
          <t>MECAN</t>
        </is>
      </c>
      <c r="I205" s="19" t="n"/>
      <c r="J205" s="18">
        <f>IF(TRIM(F205)="","",IF(LEFT(TRIM(F205),2)="RM",IFERROR(IF(D205&gt;=DATE(2026,4,1),INDEX('LP RMH'!$F:$F,MATCH(TRIM(F205),'LP RMH'!$A:$A,0)),INDEX('LP RMH'!$E:$E,MATCH(TRIM(F205),'LP RMH'!$A:$A,0))),0),IFERROR(INDEX('LP MONCAR'!$E:$E,MATCH(TRIM(F205),'LP MONCAR'!$A:$A,0)),0)))</f>
        <v/>
      </c>
      <c r="K205" s="18" t="n">
        <v>27600</v>
      </c>
      <c r="L205" s="16" t="inlineStr">
        <is>
          <t>2026-01</t>
        </is>
      </c>
      <c r="M205" s="16" t="n"/>
      <c r="N205" s="20" t="n">
        <v>3940.1604</v>
      </c>
      <c r="O205" s="18" t="n">
        <v>23659.8396</v>
      </c>
      <c r="P205" s="16" t="inlineStr">
        <is>
          <t>SKIL</t>
        </is>
      </c>
      <c r="Q205" s="16" t="inlineStr">
        <is>
          <t>FERRETERIA</t>
        </is>
      </c>
      <c r="R205" s="16" t="n"/>
      <c r="S205" s="16" t="inlineStr">
        <is>
          <t>Venado Tuerto</t>
        </is>
      </c>
      <c r="T205" s="16" t="inlineStr">
        <is>
          <t>Santa Fe</t>
        </is>
      </c>
      <c r="U205" s="16" t="n"/>
    </row>
    <row r="206">
      <c r="A206" s="37" t="n"/>
      <c r="B206" s="16" t="n">
        <v>4001</v>
      </c>
      <c r="C206" s="16" t="inlineStr">
        <is>
          <t>Franco</t>
        </is>
      </c>
      <c r="D206" s="17" t="n">
        <v>46050</v>
      </c>
      <c r="E206" s="16" t="inlineStr">
        <is>
          <t>MONCAR</t>
        </is>
      </c>
      <c r="F206" s="16" t="inlineStr">
        <is>
          <t>CF 665</t>
        </is>
      </c>
      <c r="G206" s="18" t="n">
        <v>24</v>
      </c>
      <c r="H206" s="16" t="inlineStr">
        <is>
          <t>MECAN</t>
        </is>
      </c>
      <c r="I206" s="19" t="n"/>
      <c r="J206" s="18">
        <f>IF(TRIM(F206)="","",IF(LEFT(TRIM(F206),2)="RM",IFERROR(IF(D206&gt;=DATE(2026,4,1),INDEX('LP RMH'!$F:$F,MATCH(TRIM(F206),'LP RMH'!$A:$A,0)),INDEX('LP RMH'!$E:$E,MATCH(TRIM(F206),'LP RMH'!$A:$A,0))),0),IFERROR(INDEX('LP MONCAR'!$E:$E,MATCH(TRIM(F206),'LP MONCAR'!$A:$A,0)),0)))</f>
        <v/>
      </c>
      <c r="K206" s="18" t="n">
        <v>55200</v>
      </c>
      <c r="L206" s="16" t="inlineStr">
        <is>
          <t>2026-01</t>
        </is>
      </c>
      <c r="M206" s="16" t="n"/>
      <c r="N206" s="20" t="n">
        <v>7163.928</v>
      </c>
      <c r="O206" s="18" t="n">
        <v>48036.072</v>
      </c>
      <c r="P206" s="16" t="inlineStr">
        <is>
          <t>BLACK Y DECKER</t>
        </is>
      </c>
      <c r="Q206" s="16" t="inlineStr">
        <is>
          <t>FERRETERIA</t>
        </is>
      </c>
      <c r="R206" s="16" t="n"/>
      <c r="S206" s="16" t="inlineStr">
        <is>
          <t>Venado Tuerto</t>
        </is>
      </c>
      <c r="T206" s="16" t="inlineStr">
        <is>
          <t>Santa Fe</t>
        </is>
      </c>
      <c r="U206" s="16" t="n"/>
    </row>
    <row r="207">
      <c r="A207" s="37" t="n"/>
      <c r="B207" s="16" t="n">
        <v>4001</v>
      </c>
      <c r="C207" s="16" t="inlineStr">
        <is>
          <t>Franco</t>
        </is>
      </c>
      <c r="D207" s="17" t="n">
        <v>46050</v>
      </c>
      <c r="E207" s="16" t="inlineStr">
        <is>
          <t>MONCAR</t>
        </is>
      </c>
      <c r="F207" s="16" t="inlineStr">
        <is>
          <t>CF 666</t>
        </is>
      </c>
      <c r="G207" s="18" t="n">
        <v>12</v>
      </c>
      <c r="H207" s="16" t="inlineStr">
        <is>
          <t>MECAN</t>
        </is>
      </c>
      <c r="I207" s="19" t="n"/>
      <c r="J207" s="18">
        <f>IF(TRIM(F207)="","",IF(LEFT(TRIM(F207),2)="RM",IFERROR(IF(D207&gt;=DATE(2026,4,1),INDEX('LP RMH'!$F:$F,MATCH(TRIM(F207),'LP RMH'!$A:$A,0)),INDEX('LP RMH'!$E:$E,MATCH(TRIM(F207),'LP RMH'!$A:$A,0))),0),IFERROR(INDEX('LP MONCAR'!$E:$E,MATCH(TRIM(F207),'LP MONCAR'!$A:$A,0)),0)))</f>
        <v/>
      </c>
      <c r="K207" s="18" t="n">
        <v>27600</v>
      </c>
      <c r="L207" s="16" t="inlineStr">
        <is>
          <t>2026-01</t>
        </is>
      </c>
      <c r="M207" s="16" t="n"/>
      <c r="N207" s="20" t="n">
        <v>3581.964</v>
      </c>
      <c r="O207" s="18" t="n">
        <v>24018.036</v>
      </c>
      <c r="P207" s="16" t="inlineStr">
        <is>
          <t>BLACK Y DECKER</t>
        </is>
      </c>
      <c r="Q207" s="16" t="inlineStr">
        <is>
          <t>FERRETERIA</t>
        </is>
      </c>
      <c r="R207" s="16" t="n"/>
      <c r="S207" s="16" t="inlineStr">
        <is>
          <t>Venado Tuerto</t>
        </is>
      </c>
      <c r="T207" s="16" t="inlineStr">
        <is>
          <t>Santa Fe</t>
        </is>
      </c>
      <c r="U207" s="16" t="n"/>
    </row>
    <row r="208">
      <c r="A208" s="37" t="n"/>
      <c r="B208" s="16" t="n">
        <v>4002</v>
      </c>
      <c r="C208" s="16" t="inlineStr">
        <is>
          <t>Franco</t>
        </is>
      </c>
      <c r="D208" s="17" t="n">
        <v>46063</v>
      </c>
      <c r="E208" s="16" t="inlineStr">
        <is>
          <t>MONCAR</t>
        </is>
      </c>
      <c r="F208" s="16" t="inlineStr">
        <is>
          <t>CF 612</t>
        </is>
      </c>
      <c r="G208" s="18" t="n">
        <v>5</v>
      </c>
      <c r="H208" s="16" t="inlineStr">
        <is>
          <t>Adrian Basgall</t>
        </is>
      </c>
      <c r="I208" s="19" t="n"/>
      <c r="J208" s="18">
        <f>IF(TRIM(F208)="","",IF(LEFT(TRIM(F208),2)="RM",IFERROR(IF(D208&gt;=DATE(2026,4,1),INDEX('LP RMH'!$F:$F,MATCH(TRIM(F208),'LP RMH'!$A:$A,0)),INDEX('LP RMH'!$E:$E,MATCH(TRIM(F208),'LP RMH'!$A:$A,0))),0),IFERROR(INDEX('LP MONCAR'!$E:$E,MATCH(TRIM(F208),'LP MONCAR'!$A:$A,0)),0)))</f>
        <v/>
      </c>
      <c r="K208" s="18" t="n">
        <v>18500</v>
      </c>
      <c r="L208" s="16" t="inlineStr">
        <is>
          <t>2026-02</t>
        </is>
      </c>
      <c r="M208" s="16" t="n"/>
      <c r="N208" s="20" t="n">
        <v>2537.2245</v>
      </c>
      <c r="O208" s="18" t="n">
        <v>15962.7755</v>
      </c>
      <c r="P208" s="16" t="inlineStr">
        <is>
          <t>BOSCH</t>
        </is>
      </c>
      <c r="Q208" s="16" t="inlineStr">
        <is>
          <t>REPARADOR</t>
        </is>
      </c>
      <c r="R208" s="16" t="n"/>
      <c r="S208" s="16" t="inlineStr">
        <is>
          <t>Jose C Paz</t>
        </is>
      </c>
      <c r="T208" s="16" t="inlineStr">
        <is>
          <t>Buenos Aires</t>
        </is>
      </c>
      <c r="U208" s="16" t="n"/>
    </row>
    <row r="209">
      <c r="A209" s="37" t="n"/>
      <c r="B209" s="16" t="n">
        <v>4002</v>
      </c>
      <c r="C209" s="16" t="inlineStr">
        <is>
          <t>Franco</t>
        </is>
      </c>
      <c r="D209" s="17" t="n">
        <v>46063</v>
      </c>
      <c r="E209" s="16" t="inlineStr">
        <is>
          <t>MONCAR</t>
        </is>
      </c>
      <c r="F209" s="16" t="inlineStr">
        <is>
          <t>CF 017</t>
        </is>
      </c>
      <c r="G209" s="18" t="n">
        <v>5</v>
      </c>
      <c r="H209" s="16" t="inlineStr">
        <is>
          <t>Adrian Basgall</t>
        </is>
      </c>
      <c r="I209" s="19" t="n"/>
      <c r="J209" s="18">
        <f>IF(TRIM(F209)="","",IF(LEFT(TRIM(F209),2)="RM",IFERROR(IF(D209&gt;=DATE(2026,4,1),INDEX('LP RMH'!$F:$F,MATCH(TRIM(F209),'LP RMH'!$A:$A,0)),INDEX('LP RMH'!$E:$E,MATCH(TRIM(F209),'LP RMH'!$A:$A,0))),0),IFERROR(INDEX('LP MONCAR'!$E:$E,MATCH(TRIM(F209),'LP MONCAR'!$A:$A,0)),0)))</f>
        <v/>
      </c>
      <c r="K209" s="18" t="n">
        <v>17100</v>
      </c>
      <c r="L209" s="16" t="inlineStr">
        <is>
          <t>2026-02</t>
        </is>
      </c>
      <c r="M209" s="16" t="n"/>
      <c r="N209" s="20" t="n">
        <v>2238.7275</v>
      </c>
      <c r="O209" s="18" t="n">
        <v>14861.2725</v>
      </c>
      <c r="P209" s="16" t="inlineStr">
        <is>
          <t>BOSCH</t>
        </is>
      </c>
      <c r="Q209" s="16" t="inlineStr">
        <is>
          <t>REPARADOR</t>
        </is>
      </c>
      <c r="R209" s="16" t="n"/>
      <c r="S209" s="16" t="inlineStr">
        <is>
          <t>Jose C Paz</t>
        </is>
      </c>
      <c r="T209" s="16" t="inlineStr">
        <is>
          <t>Buenos Aires</t>
        </is>
      </c>
      <c r="U209" s="16" t="n"/>
    </row>
    <row r="210">
      <c r="A210" s="37" t="n"/>
      <c r="B210" s="16" t="n">
        <v>4002</v>
      </c>
      <c r="C210" s="16" t="inlineStr">
        <is>
          <t>Franco</t>
        </is>
      </c>
      <c r="D210" s="17" t="n">
        <v>46063</v>
      </c>
      <c r="E210" s="16" t="inlineStr">
        <is>
          <t>MONCAR</t>
        </is>
      </c>
      <c r="F210" s="16" t="inlineStr">
        <is>
          <t>CF 020</t>
        </is>
      </c>
      <c r="G210" s="18" t="n">
        <v>5</v>
      </c>
      <c r="H210" s="16" t="inlineStr">
        <is>
          <t>Adrian Basgall</t>
        </is>
      </c>
      <c r="I210" s="19" t="n"/>
      <c r="J210" s="18">
        <f>IF(TRIM(F210)="","",IF(LEFT(TRIM(F210),2)="RM",IFERROR(IF(D210&gt;=DATE(2026,4,1),INDEX('LP RMH'!$F:$F,MATCH(TRIM(F210),'LP RMH'!$A:$A,0)),INDEX('LP RMH'!$E:$E,MATCH(TRIM(F210),'LP RMH'!$A:$A,0))),0),IFERROR(INDEX('LP MONCAR'!$E:$E,MATCH(TRIM(F210),'LP MONCAR'!$A:$A,0)),0)))</f>
        <v/>
      </c>
      <c r="K210" s="18" t="n">
        <v>25650</v>
      </c>
      <c r="L210" s="16" t="inlineStr">
        <is>
          <t>2026-02</t>
        </is>
      </c>
      <c r="M210" s="16" t="n"/>
      <c r="N210" s="20" t="n">
        <v>3432.7155</v>
      </c>
      <c r="O210" s="18" t="n">
        <v>22217.2845</v>
      </c>
      <c r="P210" s="16" t="inlineStr">
        <is>
          <t>BOSCH</t>
        </is>
      </c>
      <c r="Q210" s="16" t="inlineStr">
        <is>
          <t>REPARADOR</t>
        </is>
      </c>
      <c r="R210" s="16" t="n"/>
      <c r="S210" s="16" t="inlineStr">
        <is>
          <t>Jose C Paz</t>
        </is>
      </c>
      <c r="T210" s="16" t="inlineStr">
        <is>
          <t>Buenos Aires</t>
        </is>
      </c>
      <c r="U210" s="16" t="n"/>
    </row>
    <row r="211">
      <c r="A211" s="37" t="n"/>
      <c r="B211" s="16" t="n">
        <v>4002</v>
      </c>
      <c r="C211" s="16" t="inlineStr">
        <is>
          <t>Franco</t>
        </is>
      </c>
      <c r="D211" s="17" t="n">
        <v>46063</v>
      </c>
      <c r="E211" s="16" t="inlineStr">
        <is>
          <t>MONCAR</t>
        </is>
      </c>
      <c r="F211" s="16" t="inlineStr">
        <is>
          <t>CF 611</t>
        </is>
      </c>
      <c r="G211" s="18" t="n">
        <v>5</v>
      </c>
      <c r="H211" s="16" t="inlineStr">
        <is>
          <t>Adrian Basgall</t>
        </is>
      </c>
      <c r="I211" s="19" t="n"/>
      <c r="J211" s="18">
        <f>IF(TRIM(F211)="","",IF(LEFT(TRIM(F211),2)="RM",IFERROR(IF(D211&gt;=DATE(2026,4,1),INDEX('LP RMH'!$F:$F,MATCH(TRIM(F211),'LP RMH'!$A:$A,0)),INDEX('LP RMH'!$E:$E,MATCH(TRIM(F211),'LP RMH'!$A:$A,0))),0),IFERROR(INDEX('LP MONCAR'!$E:$E,MATCH(TRIM(F211),'LP MONCAR'!$A:$A,0)),0)))</f>
        <v/>
      </c>
      <c r="K211" s="18" t="n">
        <v>19450</v>
      </c>
      <c r="L211" s="16" t="inlineStr">
        <is>
          <t>2026-02</t>
        </is>
      </c>
      <c r="M211" s="16" t="n"/>
      <c r="N211" s="20" t="n">
        <v>2537.2245</v>
      </c>
      <c r="O211" s="18" t="n">
        <v>16912.7755</v>
      </c>
      <c r="P211" s="16" t="inlineStr">
        <is>
          <t>BOSCH</t>
        </is>
      </c>
      <c r="Q211" s="16" t="inlineStr">
        <is>
          <t>REPARADOR</t>
        </is>
      </c>
      <c r="R211" s="16" t="n"/>
      <c r="S211" s="16" t="inlineStr">
        <is>
          <t>Jose C Paz</t>
        </is>
      </c>
      <c r="T211" s="16" t="inlineStr">
        <is>
          <t>Buenos Aires</t>
        </is>
      </c>
      <c r="U211" s="16" t="n"/>
    </row>
    <row r="212">
      <c r="A212" s="37" t="n"/>
      <c r="B212" s="16" t="n">
        <v>4002</v>
      </c>
      <c r="C212" s="16" t="inlineStr">
        <is>
          <t>Franco</t>
        </is>
      </c>
      <c r="D212" s="17" t="n">
        <v>46063</v>
      </c>
      <c r="E212" s="16" t="inlineStr">
        <is>
          <t>MONCAR</t>
        </is>
      </c>
      <c r="F212" s="16" t="inlineStr">
        <is>
          <t>CF 189</t>
        </is>
      </c>
      <c r="G212" s="18" t="n">
        <v>5</v>
      </c>
      <c r="H212" s="16" t="inlineStr">
        <is>
          <t>Adrian Basgall</t>
        </is>
      </c>
      <c r="I212" s="19" t="n"/>
      <c r="J212" s="18">
        <f>IF(TRIM(F212)="","",IF(LEFT(TRIM(F212),2)="RM",IFERROR(IF(D212&gt;=DATE(2026,4,1),INDEX('LP RMH'!$F:$F,MATCH(TRIM(F212),'LP RMH'!$A:$A,0)),INDEX('LP RMH'!$E:$E,MATCH(TRIM(F212),'LP RMH'!$A:$A,0))),0),IFERROR(INDEX('LP MONCAR'!$E:$E,MATCH(TRIM(F212),'LP MONCAR'!$A:$A,0)),0)))</f>
        <v/>
      </c>
      <c r="K212" s="18" t="n">
        <v>17100</v>
      </c>
      <c r="L212" s="16" t="inlineStr">
        <is>
          <t>2026-02</t>
        </is>
      </c>
      <c r="M212" s="16" t="n"/>
      <c r="N212" s="20" t="n">
        <v>2387.976</v>
      </c>
      <c r="O212" s="18" t="n">
        <v>14712.024</v>
      </c>
      <c r="P212" s="16" t="inlineStr">
        <is>
          <t>DE WALT</t>
        </is>
      </c>
      <c r="Q212" s="16" t="inlineStr">
        <is>
          <t>REPARADOR</t>
        </is>
      </c>
      <c r="R212" s="16" t="n"/>
      <c r="S212" s="16" t="inlineStr">
        <is>
          <t>Jose C Paz</t>
        </is>
      </c>
      <c r="T212" s="16" t="inlineStr">
        <is>
          <t>Buenos Aires</t>
        </is>
      </c>
      <c r="U212" s="16" t="n"/>
    </row>
    <row r="213">
      <c r="A213" s="37" t="n"/>
      <c r="B213" s="16" t="n">
        <v>4002</v>
      </c>
      <c r="C213" s="16" t="inlineStr">
        <is>
          <t>Franco</t>
        </is>
      </c>
      <c r="D213" s="17" t="n">
        <v>46063</v>
      </c>
      <c r="E213" s="16" t="inlineStr">
        <is>
          <t>MONCAR</t>
        </is>
      </c>
      <c r="F213" s="16" t="inlineStr">
        <is>
          <t>CF 056</t>
        </is>
      </c>
      <c r="G213" s="18" t="n">
        <v>5</v>
      </c>
      <c r="H213" s="16" t="inlineStr">
        <is>
          <t>Adrian Basgall</t>
        </is>
      </c>
      <c r="I213" s="19" t="n"/>
      <c r="J213" s="18">
        <f>IF(TRIM(F213)="","",IF(LEFT(TRIM(F213),2)="RM",IFERROR(IF(D213&gt;=DATE(2026,4,1),INDEX('LP RMH'!$F:$F,MATCH(TRIM(F213),'LP RMH'!$A:$A,0)),INDEX('LP RMH'!$E:$E,MATCH(TRIM(F213),'LP RMH'!$A:$A,0))),0),IFERROR(INDEX('LP MONCAR'!$E:$E,MATCH(TRIM(F213),'LP MONCAR'!$A:$A,0)),0)))</f>
        <v/>
      </c>
      <c r="K213" s="18" t="n">
        <v>25850</v>
      </c>
      <c r="L213" s="16" t="inlineStr">
        <is>
          <t>2026-02</t>
        </is>
      </c>
      <c r="M213" s="16" t="n"/>
      <c r="N213" s="20" t="n">
        <v>3432.7155</v>
      </c>
      <c r="O213" s="18" t="n">
        <v>22417.2845</v>
      </c>
      <c r="P213" s="16" t="inlineStr">
        <is>
          <t>MAKITA</t>
        </is>
      </c>
      <c r="Q213" s="16" t="inlineStr">
        <is>
          <t>REPARADOR</t>
        </is>
      </c>
      <c r="R213" s="16" t="n"/>
      <c r="S213" s="16" t="inlineStr">
        <is>
          <t>Jose C Paz</t>
        </is>
      </c>
      <c r="T213" s="16" t="inlineStr">
        <is>
          <t>Buenos Aires</t>
        </is>
      </c>
      <c r="U213" s="16" t="n"/>
    </row>
    <row r="214">
      <c r="A214" s="37" t="n"/>
      <c r="B214" s="16" t="n">
        <v>4002</v>
      </c>
      <c r="C214" s="16" t="inlineStr">
        <is>
          <t>Franco</t>
        </is>
      </c>
      <c r="D214" s="17" t="n">
        <v>46063</v>
      </c>
      <c r="E214" s="16" t="inlineStr">
        <is>
          <t>MONCAR</t>
        </is>
      </c>
      <c r="F214" s="16" t="inlineStr">
        <is>
          <t>CF 057</t>
        </is>
      </c>
      <c r="G214" s="18" t="n">
        <v>5</v>
      </c>
      <c r="H214" s="16" t="inlineStr">
        <is>
          <t>Adrian Basgall</t>
        </is>
      </c>
      <c r="I214" s="19" t="n"/>
      <c r="J214" s="18">
        <f>IF(TRIM(F214)="","",IF(LEFT(TRIM(F214),2)="RM",IFERROR(IF(D214&gt;=DATE(2026,4,1),INDEX('LP RMH'!$F:$F,MATCH(TRIM(F214),'LP RMH'!$A:$A,0)),INDEX('LP RMH'!$E:$E,MATCH(TRIM(F214),'LP RMH'!$A:$A,0))),0),IFERROR(INDEX('LP MONCAR'!$E:$E,MATCH(TRIM(F214),'LP MONCAR'!$A:$A,0)),0)))</f>
        <v/>
      </c>
      <c r="K214" s="18" t="n">
        <v>25850</v>
      </c>
      <c r="L214" s="16" t="inlineStr">
        <is>
          <t>2026-02</t>
        </is>
      </c>
      <c r="M214" s="16" t="n"/>
      <c r="N214" s="20" t="n">
        <v>3432.7155</v>
      </c>
      <c r="O214" s="18" t="n">
        <v>22417.2845</v>
      </c>
      <c r="P214" s="16" t="inlineStr">
        <is>
          <t>MAKITA</t>
        </is>
      </c>
      <c r="Q214" s="16" t="inlineStr">
        <is>
          <t>REPARADOR</t>
        </is>
      </c>
      <c r="R214" s="16" t="n"/>
      <c r="S214" s="16" t="inlineStr">
        <is>
          <t>Jose C Paz</t>
        </is>
      </c>
      <c r="T214" s="16" t="inlineStr">
        <is>
          <t>Buenos Aires</t>
        </is>
      </c>
      <c r="U214" s="16" t="n"/>
    </row>
    <row r="215">
      <c r="A215" s="37" t="n"/>
      <c r="B215" s="16" t="n">
        <v>4002</v>
      </c>
      <c r="C215" s="16" t="inlineStr">
        <is>
          <t>Franco</t>
        </is>
      </c>
      <c r="D215" s="17" t="n">
        <v>46063</v>
      </c>
      <c r="E215" s="16" t="inlineStr">
        <is>
          <t>MONCAR</t>
        </is>
      </c>
      <c r="F215" s="16" t="inlineStr">
        <is>
          <t>CF 658</t>
        </is>
      </c>
      <c r="G215" s="18" t="n">
        <v>5</v>
      </c>
      <c r="H215" s="16" t="inlineStr">
        <is>
          <t>Adrian Basgall</t>
        </is>
      </c>
      <c r="I215" s="19" t="n"/>
      <c r="J215" s="18">
        <f>IF(TRIM(F215)="","",IF(LEFT(TRIM(F215),2)="RM",IFERROR(IF(D215&gt;=DATE(2026,4,1),INDEX('LP RMH'!$F:$F,MATCH(TRIM(F215),'LP RMH'!$A:$A,0)),INDEX('LP RMH'!$E:$E,MATCH(TRIM(F215),'LP RMH'!$A:$A,0))),0),IFERROR(INDEX('LP MONCAR'!$E:$E,MATCH(TRIM(F215),'LP MONCAR'!$A:$A,0)),0)))</f>
        <v/>
      </c>
      <c r="K215" s="18" t="n">
        <v>12650</v>
      </c>
      <c r="L215" s="16" t="inlineStr">
        <is>
          <t>2026-02</t>
        </is>
      </c>
      <c r="M215" s="16" t="n"/>
      <c r="N215" s="20" t="n">
        <v>1641.7335</v>
      </c>
      <c r="O215" s="18" t="n">
        <v>11008.2665</v>
      </c>
      <c r="P215" s="16" t="inlineStr">
        <is>
          <t>SKIL</t>
        </is>
      </c>
      <c r="Q215" s="16" t="inlineStr">
        <is>
          <t>REPARADOR</t>
        </is>
      </c>
      <c r="R215" s="16" t="n"/>
      <c r="S215" s="16" t="inlineStr">
        <is>
          <t>Jose C Paz</t>
        </is>
      </c>
      <c r="T215" s="16" t="inlineStr">
        <is>
          <t>Buenos Aires</t>
        </is>
      </c>
      <c r="U215" s="16" t="n"/>
    </row>
    <row r="216">
      <c r="A216" s="37" t="n"/>
      <c r="B216" s="16" t="n">
        <v>4002</v>
      </c>
      <c r="C216" s="16" t="inlineStr">
        <is>
          <t>Franco</t>
        </is>
      </c>
      <c r="D216" s="17" t="n">
        <v>46063</v>
      </c>
      <c r="E216" s="16" t="inlineStr">
        <is>
          <t>MONCAR</t>
        </is>
      </c>
      <c r="F216" s="16" t="inlineStr">
        <is>
          <t>CF 029</t>
        </is>
      </c>
      <c r="G216" s="18" t="n">
        <v>5</v>
      </c>
      <c r="H216" s="16" t="inlineStr">
        <is>
          <t>Adrian Basgall</t>
        </is>
      </c>
      <c r="I216" s="19" t="n"/>
      <c r="J216" s="18">
        <f>IF(TRIM(F216)="","",IF(LEFT(TRIM(F216),2)="RM",IFERROR(IF(D216&gt;=DATE(2026,4,1),INDEX('LP RMH'!$F:$F,MATCH(TRIM(F216),'LP RMH'!$A:$A,0)),INDEX('LP RMH'!$E:$E,MATCH(TRIM(F216),'LP RMH'!$A:$A,0))),0),IFERROR(INDEX('LP MONCAR'!$E:$E,MATCH(TRIM(F216),'LP MONCAR'!$A:$A,0)),0)))</f>
        <v/>
      </c>
      <c r="K216" s="18" t="n">
        <v>23550</v>
      </c>
      <c r="L216" s="16" t="inlineStr">
        <is>
          <t>2026-02</t>
        </is>
      </c>
      <c r="M216" s="16" t="n"/>
      <c r="N216" s="20" t="n">
        <v>3134.218499999999</v>
      </c>
      <c r="O216" s="18" t="n">
        <v>20415.7815</v>
      </c>
      <c r="P216" s="16" t="inlineStr">
        <is>
          <t>DOVER</t>
        </is>
      </c>
      <c r="Q216" s="16" t="inlineStr">
        <is>
          <t>REPARADOR</t>
        </is>
      </c>
      <c r="R216" s="16" t="n"/>
      <c r="S216" s="16" t="inlineStr">
        <is>
          <t>Jose C Paz</t>
        </is>
      </c>
      <c r="T216" s="16" t="inlineStr">
        <is>
          <t>Buenos Aires</t>
        </is>
      </c>
      <c r="U216" s="16" t="n"/>
    </row>
    <row r="217">
      <c r="A217" s="37" t="n"/>
      <c r="B217" s="16" t="n">
        <v>4002</v>
      </c>
      <c r="C217" s="16" t="inlineStr">
        <is>
          <t>Franco</t>
        </is>
      </c>
      <c r="D217" s="17" t="n">
        <v>46063</v>
      </c>
      <c r="E217" s="16" t="inlineStr">
        <is>
          <t>MONCAR</t>
        </is>
      </c>
      <c r="F217" s="16" t="inlineStr">
        <is>
          <t>CF 552</t>
        </is>
      </c>
      <c r="G217" s="18" t="n">
        <v>5</v>
      </c>
      <c r="H217" s="16" t="inlineStr">
        <is>
          <t>Adrian Basgall</t>
        </is>
      </c>
      <c r="I217" s="19" t="n"/>
      <c r="J217" s="18">
        <f>IF(TRIM(F217)="","",IF(LEFT(TRIM(F217),2)="RM",IFERROR(IF(D217&gt;=DATE(2026,4,1),INDEX('LP RMH'!$F:$F,MATCH(TRIM(F217),'LP RMH'!$A:$A,0)),INDEX('LP RMH'!$E:$E,MATCH(TRIM(F217),'LP RMH'!$A:$A,0))),0),IFERROR(INDEX('LP MONCAR'!$E:$E,MATCH(TRIM(F217),'LP MONCAR'!$A:$A,0)),0)))</f>
        <v/>
      </c>
      <c r="K217" s="18" t="n">
        <v>13850</v>
      </c>
      <c r="L217" s="16" t="inlineStr">
        <is>
          <t>2026-02</t>
        </is>
      </c>
      <c r="M217" s="16" t="n"/>
      <c r="N217" s="20" t="n">
        <v>1940.2305</v>
      </c>
      <c r="O217" s="18" t="n">
        <v>11909.7695</v>
      </c>
      <c r="P217" s="16" t="inlineStr">
        <is>
          <t>MAKITA</t>
        </is>
      </c>
      <c r="Q217" s="16" t="inlineStr">
        <is>
          <t>REPARADOR</t>
        </is>
      </c>
      <c r="R217" s="16" t="n"/>
      <c r="S217" s="16" t="inlineStr">
        <is>
          <t>Jose C Paz</t>
        </is>
      </c>
      <c r="T217" s="16" t="inlineStr">
        <is>
          <t>Buenos Aires</t>
        </is>
      </c>
      <c r="U217" s="16" t="n"/>
    </row>
    <row r="218">
      <c r="A218" s="37" t="n"/>
      <c r="B218" s="16" t="n">
        <v>4002</v>
      </c>
      <c r="C218" s="16" t="inlineStr">
        <is>
          <t>Franco</t>
        </is>
      </c>
      <c r="D218" s="17" t="n">
        <v>46063</v>
      </c>
      <c r="E218" s="16" t="inlineStr">
        <is>
          <t>MONCAR</t>
        </is>
      </c>
      <c r="F218" s="16" t="inlineStr">
        <is>
          <t>CF 556</t>
        </is>
      </c>
      <c r="G218" s="18" t="n">
        <v>5</v>
      </c>
      <c r="H218" s="16" t="inlineStr">
        <is>
          <t>Adrian Basgall</t>
        </is>
      </c>
      <c r="I218" s="19" t="n"/>
      <c r="J218" s="18">
        <f>IF(TRIM(F218)="","",IF(LEFT(TRIM(F218),2)="RM",IFERROR(IF(D218&gt;=DATE(2026,4,1),INDEX('LP RMH'!$F:$F,MATCH(TRIM(F218),'LP RMH'!$A:$A,0)),INDEX('LP RMH'!$E:$E,MATCH(TRIM(F218),'LP RMH'!$A:$A,0))),0),IFERROR(INDEX('LP MONCAR'!$E:$E,MATCH(TRIM(F218),'LP MONCAR'!$A:$A,0)),0)))</f>
        <v/>
      </c>
      <c r="K218" s="18" t="n">
        <v>18500</v>
      </c>
      <c r="L218" s="16" t="inlineStr">
        <is>
          <t>2026-02</t>
        </is>
      </c>
      <c r="M218" s="16" t="n"/>
      <c r="N218" s="20" t="n">
        <v>2387.976</v>
      </c>
      <c r="O218" s="18" t="n">
        <v>16112.024</v>
      </c>
      <c r="P218" s="16" t="inlineStr">
        <is>
          <t>MAKITA</t>
        </is>
      </c>
      <c r="Q218" s="16" t="inlineStr">
        <is>
          <t>REPARADOR</t>
        </is>
      </c>
      <c r="R218" s="16" t="n"/>
      <c r="S218" s="16" t="inlineStr">
        <is>
          <t>Jose C Paz</t>
        </is>
      </c>
      <c r="T218" s="16" t="inlineStr">
        <is>
          <t>Buenos Aires</t>
        </is>
      </c>
      <c r="U218" s="16" t="n"/>
    </row>
    <row r="219">
      <c r="A219" s="37" t="n"/>
      <c r="B219" s="16" t="n">
        <v>4002</v>
      </c>
      <c r="C219" s="16" t="inlineStr">
        <is>
          <t>Franco</t>
        </is>
      </c>
      <c r="D219" s="17" t="n">
        <v>46063</v>
      </c>
      <c r="E219" s="16" t="inlineStr">
        <is>
          <t>MONCAR</t>
        </is>
      </c>
      <c r="F219" s="16" t="inlineStr">
        <is>
          <t>CF 116</t>
        </is>
      </c>
      <c r="G219" s="18" t="n">
        <v>5</v>
      </c>
      <c r="H219" s="16" t="inlineStr">
        <is>
          <t>Adrian Basgall</t>
        </is>
      </c>
      <c r="I219" s="19" t="n"/>
      <c r="J219" s="18">
        <f>IF(TRIM(F219)="","",IF(LEFT(TRIM(F219),2)="RM",IFERROR(IF(D219&gt;=DATE(2026,4,1),INDEX('LP RMH'!$F:$F,MATCH(TRIM(F219),'LP RMH'!$A:$A,0)),INDEX('LP RMH'!$E:$E,MATCH(TRIM(F219),'LP RMH'!$A:$A,0))),0),IFERROR(INDEX('LP MONCAR'!$E:$E,MATCH(TRIM(F219),'LP MONCAR'!$A:$A,0)),0)))</f>
        <v/>
      </c>
      <c r="K219" s="18" t="n">
        <v>14900</v>
      </c>
      <c r="L219" s="16" t="inlineStr">
        <is>
          <t>2026-02</t>
        </is>
      </c>
      <c r="M219" s="16" t="n"/>
      <c r="N219" s="20" t="n">
        <v>3432.7155</v>
      </c>
      <c r="O219" s="18" t="n">
        <v>11467.2845</v>
      </c>
      <c r="P219" s="16" t="inlineStr">
        <is>
          <t>MAKITA</t>
        </is>
      </c>
      <c r="Q219" s="16" t="inlineStr">
        <is>
          <t>REPARADOR</t>
        </is>
      </c>
      <c r="R219" s="16" t="n"/>
      <c r="S219" s="16" t="inlineStr">
        <is>
          <t>Jose C Paz</t>
        </is>
      </c>
      <c r="T219" s="16" t="inlineStr">
        <is>
          <t>Buenos Aires</t>
        </is>
      </c>
      <c r="U219" s="16" t="n"/>
    </row>
    <row r="220">
      <c r="A220" s="37" t="n"/>
      <c r="B220" s="16" t="n">
        <v>4002</v>
      </c>
      <c r="C220" s="16" t="inlineStr">
        <is>
          <t>Franco</t>
        </is>
      </c>
      <c r="D220" s="17" t="n">
        <v>46063</v>
      </c>
      <c r="E220" s="16" t="inlineStr">
        <is>
          <t>MONCAR</t>
        </is>
      </c>
      <c r="F220" s="16" t="inlineStr">
        <is>
          <t>CF 044</t>
        </is>
      </c>
      <c r="G220" s="18" t="n">
        <v>5</v>
      </c>
      <c r="H220" s="16" t="inlineStr">
        <is>
          <t>Adrian Basgall</t>
        </is>
      </c>
      <c r="I220" s="19" t="n"/>
      <c r="J220" s="18">
        <f>IF(TRIM(F220)="","",IF(LEFT(TRIM(F220),2)="RM",IFERROR(IF(D220&gt;=DATE(2026,4,1),INDEX('LP RMH'!$F:$F,MATCH(TRIM(F220),'LP RMH'!$A:$A,0)),INDEX('LP RMH'!$E:$E,MATCH(TRIM(F220),'LP RMH'!$A:$A,0))),0),IFERROR(INDEX('LP MONCAR'!$E:$E,MATCH(TRIM(F220),'LP MONCAR'!$A:$A,0)),0)))</f>
        <v/>
      </c>
      <c r="K220" s="18" t="n">
        <v>25150</v>
      </c>
      <c r="L220" s="16" t="inlineStr">
        <is>
          <t>2026-02</t>
        </is>
      </c>
      <c r="M220" s="16" t="n"/>
      <c r="N220" s="20" t="n">
        <v>3283.467</v>
      </c>
      <c r="O220" s="18" t="n">
        <v>21866.533</v>
      </c>
      <c r="P220" s="16" t="inlineStr">
        <is>
          <t>HITACHI</t>
        </is>
      </c>
      <c r="Q220" s="16" t="inlineStr">
        <is>
          <t>REPARADOR</t>
        </is>
      </c>
      <c r="R220" s="16" t="n"/>
      <c r="S220" s="16" t="inlineStr">
        <is>
          <t>Jose C Paz</t>
        </is>
      </c>
      <c r="T220" s="16" t="inlineStr">
        <is>
          <t>Buenos Aires</t>
        </is>
      </c>
      <c r="U220" s="16" t="n"/>
    </row>
    <row r="221">
      <c r="A221" s="37" t="n"/>
      <c r="B221" s="16" t="n">
        <v>4002</v>
      </c>
      <c r="C221" s="16" t="inlineStr">
        <is>
          <t>Franco</t>
        </is>
      </c>
      <c r="D221" s="17" t="n">
        <v>46063</v>
      </c>
      <c r="E221" s="16" t="inlineStr">
        <is>
          <t>MONCAR</t>
        </is>
      </c>
      <c r="F221" s="16" t="inlineStr">
        <is>
          <t>CF 192</t>
        </is>
      </c>
      <c r="G221" s="18" t="n">
        <v>7</v>
      </c>
      <c r="H221" s="16" t="inlineStr">
        <is>
          <t>Adrian Basgall</t>
        </is>
      </c>
      <c r="I221" s="19" t="n"/>
      <c r="J221" s="18">
        <f>IF(TRIM(F221)="","",IF(LEFT(TRIM(F221),2)="RM",IFERROR(IF(D221&gt;=DATE(2026,4,1),INDEX('LP RMH'!$F:$F,MATCH(TRIM(F221),'LP RMH'!$A:$A,0)),INDEX('LP RMH'!$E:$E,MATCH(TRIM(F221),'LP RMH'!$A:$A,0))),0),IFERROR(INDEX('LP MONCAR'!$E:$E,MATCH(TRIM(F221),'LP MONCAR'!$A:$A,0)),0)))</f>
        <v/>
      </c>
      <c r="K221" s="18" t="n">
        <v>21420</v>
      </c>
      <c r="L221" s="16" t="inlineStr">
        <is>
          <t>2026-02</t>
        </is>
      </c>
      <c r="M221" s="16" t="n"/>
      <c r="N221" s="20" t="n">
        <v>2925.2706</v>
      </c>
      <c r="O221" s="18" t="n">
        <v>18494.7294</v>
      </c>
      <c r="P221" s="16" t="inlineStr">
        <is>
          <t>DE WALT</t>
        </is>
      </c>
      <c r="Q221" s="16" t="inlineStr">
        <is>
          <t>REPARADOR</t>
        </is>
      </c>
      <c r="R221" s="16" t="n"/>
      <c r="S221" s="16" t="inlineStr">
        <is>
          <t>Jose C Paz</t>
        </is>
      </c>
      <c r="T221" s="16" t="inlineStr">
        <is>
          <t>Buenos Aires</t>
        </is>
      </c>
      <c r="U221" s="16" t="n"/>
    </row>
    <row r="222">
      <c r="A222" s="37" t="n"/>
      <c r="B222" s="16" t="n">
        <v>4002</v>
      </c>
      <c r="C222" s="16" t="inlineStr">
        <is>
          <t>Franco</t>
        </is>
      </c>
      <c r="D222" s="17" t="n">
        <v>46063</v>
      </c>
      <c r="E222" s="16" t="inlineStr">
        <is>
          <t>MONCAR</t>
        </is>
      </c>
      <c r="F222" s="16" t="inlineStr">
        <is>
          <t>CF 670</t>
        </is>
      </c>
      <c r="G222" s="18" t="n">
        <v>2</v>
      </c>
      <c r="H222" s="16" t="inlineStr">
        <is>
          <t>Adrian Basgall</t>
        </is>
      </c>
      <c r="I222" s="19" t="n"/>
      <c r="J222" s="18">
        <f>IF(TRIM(F222)="","",IF(LEFT(TRIM(F222),2)="RM",IFERROR(IF(D222&gt;=DATE(2026,4,1),INDEX('LP RMH'!$F:$F,MATCH(TRIM(F222),'LP RMH'!$A:$A,0)),INDEX('LP RMH'!$E:$E,MATCH(TRIM(F222),'LP RMH'!$A:$A,0))),0),IFERROR(INDEX('LP MONCAR'!$E:$E,MATCH(TRIM(F222),'LP MONCAR'!$A:$A,0)),0)))</f>
        <v/>
      </c>
      <c r="K222" s="18" t="n">
        <v>6620</v>
      </c>
      <c r="L222" s="16" t="inlineStr">
        <is>
          <t>2026-02</t>
        </is>
      </c>
      <c r="M222" s="16" t="n"/>
      <c r="N222" s="20" t="n"/>
      <c r="O222" s="18" t="n"/>
      <c r="P222" s="16" t="inlineStr">
        <is>
          <t>BLACK Y DECKER</t>
        </is>
      </c>
      <c r="Q222" s="16" t="inlineStr">
        <is>
          <t>REPARADOR</t>
        </is>
      </c>
      <c r="R222" s="16" t="n"/>
      <c r="S222" s="16" t="inlineStr">
        <is>
          <t>Jose C Paz</t>
        </is>
      </c>
      <c r="T222" s="16" t="inlineStr">
        <is>
          <t>Buenos Aires</t>
        </is>
      </c>
      <c r="U222" s="16" t="n"/>
    </row>
    <row r="223">
      <c r="A223" s="37" t="n"/>
      <c r="B223" s="16" t="n">
        <v>4002</v>
      </c>
      <c r="C223" s="16" t="inlineStr">
        <is>
          <t>Franco</t>
        </is>
      </c>
      <c r="D223" s="17" t="n">
        <v>46063</v>
      </c>
      <c r="E223" s="16" t="inlineStr">
        <is>
          <t>MONCAR</t>
        </is>
      </c>
      <c r="F223" s="16" t="inlineStr">
        <is>
          <t>CF 181</t>
        </is>
      </c>
      <c r="G223" s="18" t="n">
        <v>2</v>
      </c>
      <c r="H223" s="16" t="inlineStr">
        <is>
          <t>Adrian Basgall</t>
        </is>
      </c>
      <c r="I223" s="19" t="n"/>
      <c r="J223" s="18">
        <f>IF(TRIM(F223)="","",IF(LEFT(TRIM(F223),2)="RM",IFERROR(IF(D223&gt;=DATE(2026,4,1),INDEX('LP RMH'!$F:$F,MATCH(TRIM(F223),'LP RMH'!$A:$A,0)),INDEX('LP RMH'!$E:$E,MATCH(TRIM(F223),'LP RMH'!$A:$A,0))),0),IFERROR(INDEX('LP MONCAR'!$E:$E,MATCH(TRIM(F223),'LP MONCAR'!$A:$A,0)),0)))</f>
        <v/>
      </c>
      <c r="K223" s="18" t="n">
        <v>7100</v>
      </c>
      <c r="L223" s="16" t="inlineStr">
        <is>
          <t>2026-02</t>
        </is>
      </c>
      <c r="M223" s="16" t="n"/>
      <c r="N223" s="20" t="n">
        <v>955.1904000000001</v>
      </c>
      <c r="O223" s="18" t="n">
        <v>6144.8096</v>
      </c>
      <c r="P223" s="16" t="inlineStr">
        <is>
          <t>DE WALT</t>
        </is>
      </c>
      <c r="Q223" s="16" t="inlineStr">
        <is>
          <t>REPARADOR</t>
        </is>
      </c>
      <c r="R223" s="16" t="n"/>
      <c r="S223" s="16" t="inlineStr">
        <is>
          <t>Jose C Paz</t>
        </is>
      </c>
      <c r="T223" s="16" t="inlineStr">
        <is>
          <t>Buenos Aires</t>
        </is>
      </c>
      <c r="U223" s="16" t="n"/>
    </row>
    <row r="224">
      <c r="A224" s="37" t="n"/>
      <c r="B224" s="16" t="n">
        <v>4002</v>
      </c>
      <c r="C224" s="16" t="inlineStr">
        <is>
          <t>Franco</t>
        </is>
      </c>
      <c r="D224" s="17" t="n">
        <v>46063</v>
      </c>
      <c r="E224" s="16" t="inlineStr">
        <is>
          <t>MONCAR</t>
        </is>
      </c>
      <c r="F224" s="16" t="inlineStr">
        <is>
          <t>CF 066</t>
        </is>
      </c>
      <c r="G224" s="18" t="n">
        <v>2</v>
      </c>
      <c r="H224" s="16" t="inlineStr">
        <is>
          <t>Adrian Basgall</t>
        </is>
      </c>
      <c r="I224" s="19" t="n"/>
      <c r="J224" s="18">
        <f>IF(TRIM(F224)="","",IF(LEFT(TRIM(F224),2)="RM",IFERROR(IF(D224&gt;=DATE(2026,4,1),INDEX('LP RMH'!$F:$F,MATCH(TRIM(F224),'LP RMH'!$A:$A,0)),INDEX('LP RMH'!$E:$E,MATCH(TRIM(F224),'LP RMH'!$A:$A,0))),0),IFERROR(INDEX('LP MONCAR'!$E:$E,MATCH(TRIM(F224),'LP MONCAR'!$A:$A,0)),0)))</f>
        <v/>
      </c>
      <c r="K224" s="18" t="n">
        <v>7020</v>
      </c>
      <c r="L224" s="16" t="inlineStr">
        <is>
          <t>2026-02</t>
        </is>
      </c>
      <c r="M224" s="16" t="n"/>
      <c r="N224" s="20" t="n">
        <v>955.1904000000001</v>
      </c>
      <c r="O224" s="18" t="n">
        <v>6064.8096</v>
      </c>
      <c r="P224" s="16" t="inlineStr">
        <is>
          <t>METABO</t>
        </is>
      </c>
      <c r="Q224" s="16" t="inlineStr">
        <is>
          <t>REPARADOR</t>
        </is>
      </c>
      <c r="R224" s="16" t="n"/>
      <c r="S224" s="16" t="inlineStr">
        <is>
          <t>Jose C Paz</t>
        </is>
      </c>
      <c r="T224" s="16" t="inlineStr">
        <is>
          <t>Buenos Aires</t>
        </is>
      </c>
      <c r="U224" s="16" t="n"/>
    </row>
    <row r="225">
      <c r="A225" s="37" t="n"/>
      <c r="B225" s="16" t="n">
        <v>1271</v>
      </c>
      <c r="C225" s="16" t="inlineStr">
        <is>
          <t>Maxi</t>
        </is>
      </c>
      <c r="D225" s="17" t="n">
        <v>46127</v>
      </c>
      <c r="E225" s="16" t="inlineStr">
        <is>
          <t>MONCAR</t>
        </is>
      </c>
      <c r="F225" s="16" t="inlineStr">
        <is>
          <t>CF 664</t>
        </is>
      </c>
      <c r="G225" s="18" t="n">
        <v>5</v>
      </c>
      <c r="H225" s="16" t="inlineStr">
        <is>
          <t>MG</t>
        </is>
      </c>
      <c r="I225" s="19" t="n"/>
      <c r="J225" s="18">
        <f>IF(TRIM(F225)="","",IF(LEFT(TRIM(F225),2)="RM",IFERROR(IF(D225&gt;=DATE(2026,4,1),INDEX('LP RMH'!$F:$F,MATCH(TRIM(F225),'LP RMH'!$A:$A,0)),INDEX('LP RMH'!$E:$E,MATCH(TRIM(F225),'LP RMH'!$A:$A,0))),0),IFERROR(INDEX('LP MONCAR'!$E:$E,MATCH(TRIM(F225),'LP MONCAR'!$A:$A,0)),0)))</f>
        <v/>
      </c>
      <c r="K225" s="18" t="n">
        <v>26565</v>
      </c>
      <c r="L225" s="16" t="inlineStr">
        <is>
          <t>2026-04</t>
        </is>
      </c>
      <c r="M225" s="16" t="n"/>
      <c r="N225" s="20" t="n">
        <v>3283.467</v>
      </c>
      <c r="O225" s="18" t="n">
        <v>23281.533</v>
      </c>
      <c r="P225" s="16" t="inlineStr">
        <is>
          <t>BLACK Y DECKER</t>
        </is>
      </c>
      <c r="Q225" s="16" t="inlineStr">
        <is>
          <t>FERRETERIA</t>
        </is>
      </c>
      <c r="R225" s="16" t="n"/>
      <c r="S225" s="16" t="n"/>
      <c r="T225" s="16" t="n"/>
      <c r="U225" s="16" t="n"/>
    </row>
    <row r="226">
      <c r="A226" s="37" t="n"/>
      <c r="B226" s="16" t="n">
        <v>1271</v>
      </c>
      <c r="C226" s="16" t="inlineStr">
        <is>
          <t>Maxi</t>
        </is>
      </c>
      <c r="D226" s="17" t="n">
        <v>46127</v>
      </c>
      <c r="E226" s="16" t="inlineStr">
        <is>
          <t>MONCAR</t>
        </is>
      </c>
      <c r="F226" s="16" t="inlineStr">
        <is>
          <t>CF 017</t>
        </is>
      </c>
      <c r="G226" s="18" t="n">
        <v>10</v>
      </c>
      <c r="H226" s="16" t="inlineStr">
        <is>
          <t>MG</t>
        </is>
      </c>
      <c r="I226" s="19" t="n"/>
      <c r="J226" s="18">
        <f>IF(TRIM(F226)="","",IF(LEFT(TRIM(F226),2)="RM",IFERROR(IF(D226&gt;=DATE(2026,4,1),INDEX('LP RMH'!$F:$F,MATCH(TRIM(F226),'LP RMH'!$A:$A,0)),INDEX('LP RMH'!$E:$E,MATCH(TRIM(F226),'LP RMH'!$A:$A,0))),0),IFERROR(INDEX('LP MONCAR'!$E:$E,MATCH(TRIM(F226),'LP MONCAR'!$A:$A,0)),0)))</f>
        <v/>
      </c>
      <c r="K226" s="18" t="n">
        <v>37620</v>
      </c>
      <c r="L226" s="16" t="inlineStr">
        <is>
          <t>2026-04</t>
        </is>
      </c>
      <c r="M226" s="16" t="n"/>
      <c r="N226" s="20" t="n">
        <v>4477.455</v>
      </c>
      <c r="O226" s="18" t="n">
        <v>33142.545</v>
      </c>
      <c r="P226" s="16" t="inlineStr">
        <is>
          <t>BOSCH</t>
        </is>
      </c>
      <c r="Q226" s="16" t="inlineStr">
        <is>
          <t>FERRETERIA</t>
        </is>
      </c>
      <c r="R226" s="16" t="n"/>
      <c r="S226" s="16" t="n"/>
      <c r="T226" s="16" t="n"/>
      <c r="U226" s="16" t="n"/>
    </row>
    <row r="227">
      <c r="A227" s="37" t="n"/>
      <c r="B227" s="16" t="n">
        <v>1271</v>
      </c>
      <c r="C227" s="16" t="inlineStr">
        <is>
          <t>Maxi</t>
        </is>
      </c>
      <c r="D227" s="17" t="n">
        <v>46127</v>
      </c>
      <c r="E227" s="16" t="inlineStr">
        <is>
          <t>MONCAR</t>
        </is>
      </c>
      <c r="F227" s="16" t="inlineStr">
        <is>
          <t>CF 614</t>
        </is>
      </c>
      <c r="G227" s="18" t="n">
        <v>5</v>
      </c>
      <c r="H227" s="16" t="inlineStr">
        <is>
          <t>MG</t>
        </is>
      </c>
      <c r="I227" s="19" t="n"/>
      <c r="J227" s="18">
        <f>IF(TRIM(F227)="","",IF(LEFT(TRIM(F227),2)="RM",IFERROR(IF(D227&gt;=DATE(2026,4,1),INDEX('LP RMH'!$F:$F,MATCH(TRIM(F227),'LP RMH'!$A:$A,0)),INDEX('LP RMH'!$E:$E,MATCH(TRIM(F227),'LP RMH'!$A:$A,0))),0),IFERROR(INDEX('LP MONCAR'!$E:$E,MATCH(TRIM(F227),'LP MONCAR'!$A:$A,0)),0)))</f>
        <v/>
      </c>
      <c r="K227" s="18" t="n">
        <v>20350</v>
      </c>
      <c r="L227" s="16" t="inlineStr">
        <is>
          <t>2026-04</t>
        </is>
      </c>
      <c r="M227" s="16" t="n"/>
      <c r="N227" s="20" t="n">
        <v>2387.976</v>
      </c>
      <c r="O227" s="18" t="n">
        <v>17962.024</v>
      </c>
      <c r="P227" s="16" t="inlineStr">
        <is>
          <t>BOSCH</t>
        </is>
      </c>
      <c r="Q227" s="16" t="inlineStr">
        <is>
          <t>FERRETERIA</t>
        </is>
      </c>
      <c r="R227" s="16" t="n"/>
      <c r="S227" s="16" t="n"/>
      <c r="T227" s="16" t="n"/>
      <c r="U227" s="16" t="n"/>
    </row>
    <row r="228">
      <c r="A228" s="37" t="n"/>
      <c r="B228" s="16" t="n">
        <v>1271</v>
      </c>
      <c r="C228" s="16" t="inlineStr">
        <is>
          <t>Maxi</t>
        </is>
      </c>
      <c r="D228" s="17" t="n">
        <v>46127</v>
      </c>
      <c r="E228" s="16" t="inlineStr">
        <is>
          <t>MONCAR</t>
        </is>
      </c>
      <c r="F228" s="16" t="inlineStr">
        <is>
          <t>CF 615</t>
        </is>
      </c>
      <c r="G228" s="18" t="n">
        <v>5</v>
      </c>
      <c r="H228" s="16" t="inlineStr">
        <is>
          <t>MG</t>
        </is>
      </c>
      <c r="I228" s="19" t="n"/>
      <c r="J228" s="18">
        <f>IF(TRIM(F228)="","",IF(LEFT(TRIM(F228),2)="RM",IFERROR(IF(D228&gt;=DATE(2026,4,1),INDEX('LP RMH'!$F:$F,MATCH(TRIM(F228),'LP RMH'!$A:$A,0)),INDEX('LP RMH'!$E:$E,MATCH(TRIM(F228),'LP RMH'!$A:$A,0))),0),IFERROR(INDEX('LP MONCAR'!$E:$E,MATCH(TRIM(F228),'LP MONCAR'!$A:$A,0)),0)))</f>
        <v/>
      </c>
      <c r="K228" s="18" t="n">
        <v>17710</v>
      </c>
      <c r="L228" s="16" t="inlineStr">
        <is>
          <t>2026-04</t>
        </is>
      </c>
      <c r="M228" s="16" t="n"/>
      <c r="N228" s="20" t="n">
        <v>2089.479</v>
      </c>
      <c r="O228" s="18" t="n">
        <v>15620.521</v>
      </c>
      <c r="P228" s="16" t="inlineStr">
        <is>
          <t>BOSCH</t>
        </is>
      </c>
      <c r="Q228" s="16" t="inlineStr">
        <is>
          <t>FERRETERIA</t>
        </is>
      </c>
      <c r="R228" s="16" t="n"/>
      <c r="S228" s="16" t="n"/>
      <c r="T228" s="16" t="n"/>
      <c r="U228" s="16" t="n"/>
    </row>
    <row r="229">
      <c r="A229" s="37" t="n"/>
      <c r="B229" s="16" t="n">
        <v>1271</v>
      </c>
      <c r="C229" s="16" t="inlineStr">
        <is>
          <t>Maxi</t>
        </is>
      </c>
      <c r="D229" s="17" t="n">
        <v>46127</v>
      </c>
      <c r="E229" s="16" t="inlineStr">
        <is>
          <t>MONCAR</t>
        </is>
      </c>
      <c r="F229" s="16" t="inlineStr">
        <is>
          <t>CF 753</t>
        </is>
      </c>
      <c r="G229" s="18" t="n">
        <v>3</v>
      </c>
      <c r="H229" s="16" t="inlineStr">
        <is>
          <t>MG</t>
        </is>
      </c>
      <c r="I229" s="19" t="n"/>
      <c r="J229" s="18">
        <f>IF(TRIM(F229)="","",IF(LEFT(TRIM(F229),2)="RM",IFERROR(IF(D229&gt;=DATE(2026,4,1),INDEX('LP RMH'!$F:$F,MATCH(TRIM(F229),'LP RMH'!$A:$A,0)),INDEX('LP RMH'!$E:$E,MATCH(TRIM(F229),'LP RMH'!$A:$A,0))),0),IFERROR(INDEX('LP MONCAR'!$E:$E,MATCH(TRIM(F229),'LP MONCAR'!$A:$A,0)),0)))</f>
        <v/>
      </c>
      <c r="K229" s="18" t="n">
        <v>16104</v>
      </c>
      <c r="L229" s="16" t="inlineStr">
        <is>
          <t>2026-04</t>
        </is>
      </c>
      <c r="M229" s="16" t="n"/>
      <c r="N229" s="20" t="n">
        <v>1970.0802</v>
      </c>
      <c r="O229" s="18" t="n">
        <v>14133.9198</v>
      </c>
      <c r="P229" s="16" t="inlineStr">
        <is>
          <t>DOWEN PAGGIO</t>
        </is>
      </c>
      <c r="Q229" s="16" t="inlineStr">
        <is>
          <t>FERRETERIA</t>
        </is>
      </c>
      <c r="R229" s="16" t="n"/>
      <c r="S229" s="16" t="n"/>
      <c r="T229" s="16" t="n"/>
      <c r="U229" s="16" t="n"/>
    </row>
    <row r="230">
      <c r="A230" s="37" t="n"/>
      <c r="B230" s="16" t="n">
        <v>1271</v>
      </c>
      <c r="C230" s="16" t="inlineStr">
        <is>
          <t>Maxi</t>
        </is>
      </c>
      <c r="D230" s="17" t="n">
        <v>46127</v>
      </c>
      <c r="E230" s="16" t="inlineStr">
        <is>
          <t>MONCAR</t>
        </is>
      </c>
      <c r="F230" s="16" t="inlineStr">
        <is>
          <t>CF 056</t>
        </is>
      </c>
      <c r="G230" s="18" t="n">
        <v>5</v>
      </c>
      <c r="H230" s="16" t="inlineStr">
        <is>
          <t>MG</t>
        </is>
      </c>
      <c r="I230" s="19" t="n"/>
      <c r="J230" s="18">
        <f>IF(TRIM(F230)="","",IF(LEFT(TRIM(F230),2)="RM",IFERROR(IF(D230&gt;=DATE(2026,4,1),INDEX('LP RMH'!$F:$F,MATCH(TRIM(F230),'LP RMH'!$A:$A,0)),INDEX('LP RMH'!$E:$E,MATCH(TRIM(F230),'LP RMH'!$A:$A,0))),0),IFERROR(INDEX('LP MONCAR'!$E:$E,MATCH(TRIM(F230),'LP MONCAR'!$A:$A,0)),0)))</f>
        <v/>
      </c>
      <c r="K230" s="18" t="n">
        <v>28435</v>
      </c>
      <c r="L230" s="16" t="inlineStr">
        <is>
          <t>2026-04</t>
        </is>
      </c>
      <c r="M230" s="16" t="n"/>
      <c r="N230" s="20" t="n">
        <v>3432.7155</v>
      </c>
      <c r="O230" s="18" t="n">
        <v>25002.2845</v>
      </c>
      <c r="P230" s="16" t="inlineStr">
        <is>
          <t>MAKITA</t>
        </is>
      </c>
      <c r="Q230" s="16" t="inlineStr">
        <is>
          <t>FERRETERIA</t>
        </is>
      </c>
      <c r="R230" s="16" t="n"/>
      <c r="S230" s="16" t="n"/>
      <c r="T230" s="16" t="n"/>
      <c r="U230" s="16" t="n"/>
    </row>
    <row r="231">
      <c r="A231" s="37" t="n"/>
      <c r="B231" s="16" t="n">
        <v>1298</v>
      </c>
      <c r="C231" s="16" t="inlineStr">
        <is>
          <t>Maxi</t>
        </is>
      </c>
      <c r="D231" s="17" t="n">
        <v>46142</v>
      </c>
      <c r="E231" s="16" t="inlineStr">
        <is>
          <t>MONCAR</t>
        </is>
      </c>
      <c r="F231" s="16" t="inlineStr">
        <is>
          <t>CF 017</t>
        </is>
      </c>
      <c r="G231" s="18" t="n">
        <v>10</v>
      </c>
      <c r="H231" s="16" t="inlineStr">
        <is>
          <t>FERRETERIA OLLEROS</t>
        </is>
      </c>
      <c r="I231" s="19" t="n"/>
      <c r="J231" s="18">
        <f>IF(TRIM(F231)="","",IF(LEFT(TRIM(F231),2)="RM",IFERROR(IF(D231&gt;=DATE(2026,4,1),INDEX('LP RMH'!$F:$F,MATCH(TRIM(F231),'LP RMH'!$A:$A,0)),INDEX('LP RMH'!$E:$E,MATCH(TRIM(F231),'LP RMH'!$A:$A,0))),0),IFERROR(INDEX('LP MONCAR'!$E:$E,MATCH(TRIM(F231),'LP MONCAR'!$A:$A,0)),0)))</f>
        <v/>
      </c>
      <c r="K231" s="18" t="n">
        <v>37620</v>
      </c>
      <c r="L231" s="16" t="inlineStr">
        <is>
          <t>2026-04</t>
        </is>
      </c>
      <c r="M231" s="16" t="n"/>
      <c r="N231" s="20" t="n">
        <v>4477.455</v>
      </c>
      <c r="O231" s="18" t="n">
        <v>33142.545</v>
      </c>
      <c r="P231" s="16" t="inlineStr">
        <is>
          <t>BOSCH</t>
        </is>
      </c>
      <c r="Q231" s="16" t="inlineStr">
        <is>
          <t>FERRETERIA</t>
        </is>
      </c>
      <c r="R231" s="16" t="n"/>
      <c r="S231" s="16" t="n"/>
      <c r="T231" s="16" t="n"/>
      <c r="U231" s="16" t="n"/>
    </row>
    <row r="232">
      <c r="A232" s="37" t="n"/>
      <c r="B232" s="16" t="n">
        <v>1298</v>
      </c>
      <c r="C232" s="16" t="inlineStr">
        <is>
          <t>Maxi</t>
        </is>
      </c>
      <c r="D232" s="17" t="n">
        <v>46142</v>
      </c>
      <c r="E232" s="16" t="inlineStr">
        <is>
          <t>MONCAR</t>
        </is>
      </c>
      <c r="F232" s="16" t="inlineStr">
        <is>
          <t>CF 020</t>
        </is>
      </c>
      <c r="G232" s="18" t="n">
        <v>5</v>
      </c>
      <c r="H232" s="16" t="inlineStr">
        <is>
          <t>FERRETERIA OLLEROS</t>
        </is>
      </c>
      <c r="I232" s="19" t="n"/>
      <c r="J232" s="18">
        <f>IF(TRIM(F232)="","",IF(LEFT(TRIM(F232),2)="RM",IFERROR(IF(D232&gt;=DATE(2026,4,1),INDEX('LP RMH'!$F:$F,MATCH(TRIM(F232),'LP RMH'!$A:$A,0)),INDEX('LP RMH'!$E:$E,MATCH(TRIM(F232),'LP RMH'!$A:$A,0))),0),IFERROR(INDEX('LP MONCAR'!$E:$E,MATCH(TRIM(F232),'LP MONCAR'!$A:$A,0)),0)))</f>
        <v/>
      </c>
      <c r="K232" s="18" t="n">
        <v>28215</v>
      </c>
      <c r="L232" s="16" t="inlineStr">
        <is>
          <t>2026-04</t>
        </is>
      </c>
      <c r="M232" s="16" t="n"/>
      <c r="N232" s="20" t="n">
        <v>3432.7155</v>
      </c>
      <c r="O232" s="18" t="n">
        <v>24782.2845</v>
      </c>
      <c r="P232" s="16" t="inlineStr">
        <is>
          <t>BOSCH</t>
        </is>
      </c>
      <c r="Q232" s="16" t="inlineStr">
        <is>
          <t>FERRETERIA</t>
        </is>
      </c>
      <c r="R232" s="16" t="n"/>
      <c r="S232" s="16" t="n"/>
      <c r="T232" s="16" t="n"/>
      <c r="U232" s="16" t="n"/>
    </row>
    <row r="233">
      <c r="A233" s="37" t="n"/>
      <c r="B233" s="16" t="n">
        <v>1298</v>
      </c>
      <c r="C233" s="16" t="inlineStr">
        <is>
          <t>Maxi</t>
        </is>
      </c>
      <c r="D233" s="17" t="n">
        <v>46142</v>
      </c>
      <c r="E233" s="16" t="inlineStr">
        <is>
          <t>MONCAR</t>
        </is>
      </c>
      <c r="F233" s="16" t="inlineStr">
        <is>
          <t>CF 611</t>
        </is>
      </c>
      <c r="G233" s="18" t="n">
        <v>5</v>
      </c>
      <c r="H233" s="16" t="inlineStr">
        <is>
          <t>FERRETERIA OLLEROS</t>
        </is>
      </c>
      <c r="I233" s="19" t="n"/>
      <c r="J233" s="18">
        <f>IF(TRIM(F233)="","",IF(LEFT(TRIM(F233),2)="RM",IFERROR(IF(D233&gt;=DATE(2026,4,1),INDEX('LP RMH'!$F:$F,MATCH(TRIM(F233),'LP RMH'!$A:$A,0)),INDEX('LP RMH'!$E:$E,MATCH(TRIM(F233),'LP RMH'!$A:$A,0))),0),IFERROR(INDEX('LP MONCAR'!$E:$E,MATCH(TRIM(F233),'LP MONCAR'!$A:$A,0)),0)))</f>
        <v/>
      </c>
      <c r="K233" s="18" t="n">
        <v>21395</v>
      </c>
      <c r="L233" s="16" t="inlineStr">
        <is>
          <t>2026-04</t>
        </is>
      </c>
      <c r="M233" s="16" t="n"/>
      <c r="N233" s="20" t="n">
        <v>2537.2245</v>
      </c>
      <c r="O233" s="18" t="n">
        <v>18857.7755</v>
      </c>
      <c r="P233" s="16" t="inlineStr">
        <is>
          <t>BOSCH</t>
        </is>
      </c>
      <c r="Q233" s="16" t="inlineStr">
        <is>
          <t>FERRETERIA</t>
        </is>
      </c>
      <c r="R233" s="16" t="n"/>
      <c r="S233" s="16" t="n"/>
      <c r="T233" s="16" t="n"/>
      <c r="U233" s="16" t="n"/>
    </row>
    <row r="234">
      <c r="A234" s="37" t="n"/>
      <c r="B234" s="16" t="n">
        <v>1298</v>
      </c>
      <c r="C234" s="16" t="inlineStr">
        <is>
          <t>Maxi</t>
        </is>
      </c>
      <c r="D234" s="17" t="n">
        <v>46142</v>
      </c>
      <c r="E234" s="16" t="inlineStr">
        <is>
          <t>MONCAR</t>
        </is>
      </c>
      <c r="F234" s="16" t="inlineStr">
        <is>
          <t>CF 180</t>
        </is>
      </c>
      <c r="G234" s="18" t="n">
        <v>5</v>
      </c>
      <c r="H234" s="16" t="inlineStr">
        <is>
          <t>FERRETERIA OLLEROS</t>
        </is>
      </c>
      <c r="I234" s="19" t="n"/>
      <c r="J234" s="18">
        <f>IF(TRIM(F234)="","",IF(LEFT(TRIM(F234),2)="RM",IFERROR(IF(D234&gt;=DATE(2026,4,1),INDEX('LP RMH'!$F:$F,MATCH(TRIM(F234),'LP RMH'!$A:$A,0)),INDEX('LP RMH'!$E:$E,MATCH(TRIM(F234),'LP RMH'!$A:$A,0))),0),IFERROR(INDEX('LP MONCAR'!$E:$E,MATCH(TRIM(F234),'LP MONCAR'!$A:$A,0)),0)))</f>
        <v/>
      </c>
      <c r="K234" s="18" t="n">
        <v>22770</v>
      </c>
      <c r="L234" s="16" t="inlineStr">
        <is>
          <t>2026-04</t>
        </is>
      </c>
      <c r="M234" s="16" t="n"/>
      <c r="N234" s="20" t="n">
        <v>2686.473</v>
      </c>
      <c r="O234" s="18" t="n">
        <v>20083.527</v>
      </c>
      <c r="P234" s="16" t="inlineStr">
        <is>
          <t>DE WALT</t>
        </is>
      </c>
      <c r="Q234" s="16" t="inlineStr">
        <is>
          <t>FERRETERIA</t>
        </is>
      </c>
      <c r="R234" s="16" t="n"/>
      <c r="S234" s="16" t="n"/>
      <c r="T234" s="16" t="n"/>
      <c r="U234" s="16" t="n"/>
    </row>
    <row r="235">
      <c r="A235" s="37" t="n"/>
      <c r="B235" s="16" t="n">
        <v>1298</v>
      </c>
      <c r="C235" s="16" t="inlineStr">
        <is>
          <t>Maxi</t>
        </is>
      </c>
      <c r="D235" s="17" t="n">
        <v>46142</v>
      </c>
      <c r="E235" s="16" t="inlineStr">
        <is>
          <t>MONCAR</t>
        </is>
      </c>
      <c r="F235" s="16" t="inlineStr">
        <is>
          <t>CF 189</t>
        </is>
      </c>
      <c r="G235" s="18" t="n">
        <v>5</v>
      </c>
      <c r="H235" s="16" t="inlineStr">
        <is>
          <t>FERRETERIA OLLEROS</t>
        </is>
      </c>
      <c r="I235" s="19" t="n"/>
      <c r="J235" s="18">
        <f>IF(TRIM(F235)="","",IF(LEFT(TRIM(F235),2)="RM",IFERROR(IF(D235&gt;=DATE(2026,4,1),INDEX('LP RMH'!$F:$F,MATCH(TRIM(F235),'LP RMH'!$A:$A,0)),INDEX('LP RMH'!$E:$E,MATCH(TRIM(F235),'LP RMH'!$A:$A,0))),0),IFERROR(INDEX('LP MONCAR'!$E:$E,MATCH(TRIM(F235),'LP MONCAR'!$A:$A,0)),0)))</f>
        <v/>
      </c>
      <c r="K235" s="18" t="n">
        <v>18810</v>
      </c>
      <c r="L235" s="16" t="inlineStr">
        <is>
          <t>2026-04</t>
        </is>
      </c>
      <c r="M235" s="16" t="n"/>
      <c r="N235" s="20" t="n">
        <v>2387.976</v>
      </c>
      <c r="O235" s="18" t="n">
        <v>16422.024</v>
      </c>
      <c r="P235" s="16" t="inlineStr">
        <is>
          <t>DE WALT</t>
        </is>
      </c>
      <c r="Q235" s="16" t="inlineStr">
        <is>
          <t>FERRETERIA</t>
        </is>
      </c>
      <c r="R235" s="16" t="n"/>
      <c r="S235" s="16" t="n"/>
      <c r="T235" s="16" t="n"/>
      <c r="U235" s="16" t="n"/>
    </row>
    <row r="236">
      <c r="A236" s="37" t="n"/>
      <c r="B236" s="16" t="n">
        <v>1298</v>
      </c>
      <c r="C236" s="16" t="inlineStr">
        <is>
          <t>Maxi</t>
        </is>
      </c>
      <c r="D236" s="17" t="n">
        <v>46142</v>
      </c>
      <c r="E236" s="16" t="inlineStr">
        <is>
          <t>MONCAR</t>
        </is>
      </c>
      <c r="F236" s="16" t="inlineStr">
        <is>
          <t>CF 003</t>
        </is>
      </c>
      <c r="G236" s="18" t="n">
        <v>3</v>
      </c>
      <c r="H236" s="16" t="inlineStr">
        <is>
          <t>FERRETERIA OLLEROS</t>
        </is>
      </c>
      <c r="I236" s="19" t="n"/>
      <c r="J236" s="18">
        <f>IF(TRIM(F236)="","",IF(LEFT(TRIM(F236),2)="RM",IFERROR(IF(D236&gt;=DATE(2026,4,1),INDEX('LP RMH'!$F:$F,MATCH(TRIM(F236),'LP RMH'!$A:$A,0)),INDEX('LP RMH'!$E:$E,MATCH(TRIM(F236),'LP RMH'!$A:$A,0))),0),IFERROR(INDEX('LP MONCAR'!$E:$E,MATCH(TRIM(F236),'LP MONCAR'!$A:$A,0)),0)))</f>
        <v/>
      </c>
      <c r="K236" s="18" t="n">
        <v>8349</v>
      </c>
      <c r="L236" s="16" t="inlineStr">
        <is>
          <t>2026-04</t>
        </is>
      </c>
      <c r="M236" s="16" t="n"/>
      <c r="N236" s="20" t="n">
        <v>985.0400999999999</v>
      </c>
      <c r="O236" s="18" t="n">
        <v>7363.9599</v>
      </c>
      <c r="P236" s="16" t="inlineStr">
        <is>
          <t>DOWEN PAGGIO</t>
        </is>
      </c>
      <c r="Q236" s="16" t="inlineStr">
        <is>
          <t>FERRETERIA</t>
        </is>
      </c>
      <c r="R236" s="16" t="n"/>
      <c r="S236" s="16" t="n"/>
      <c r="T236" s="16" t="n"/>
      <c r="U236" s="16" t="n"/>
    </row>
    <row r="237">
      <c r="A237" s="37" t="n"/>
      <c r="B237" s="16" t="n">
        <v>1298</v>
      </c>
      <c r="C237" s="16" t="inlineStr">
        <is>
          <t>Maxi</t>
        </is>
      </c>
      <c r="D237" s="17" t="n">
        <v>46142</v>
      </c>
      <c r="E237" s="16" t="inlineStr">
        <is>
          <t>MONCAR</t>
        </is>
      </c>
      <c r="F237" s="16" t="inlineStr">
        <is>
          <t>CF 711</t>
        </is>
      </c>
      <c r="G237" s="18" t="n">
        <v>5</v>
      </c>
      <c r="H237" s="16" t="inlineStr">
        <is>
          <t>FERRETERIA OLLEROS</t>
        </is>
      </c>
      <c r="I237" s="19" t="n"/>
      <c r="J237" s="18">
        <f>IF(TRIM(F237)="","",IF(LEFT(TRIM(F237),2)="RM",IFERROR(IF(D237&gt;=DATE(2026,4,1),INDEX('LP RMH'!$F:$F,MATCH(TRIM(F237),'LP RMH'!$A:$A,0)),INDEX('LP RMH'!$E:$E,MATCH(TRIM(F237),'LP RMH'!$A:$A,0))),0),IFERROR(INDEX('LP MONCAR'!$E:$E,MATCH(TRIM(F237),'LP MONCAR'!$A:$A,0)),0)))</f>
        <v/>
      </c>
      <c r="K237" s="18" t="n">
        <v>16830</v>
      </c>
      <c r="L237" s="16" t="inlineStr">
        <is>
          <t>2026-04</t>
        </is>
      </c>
      <c r="M237" s="16" t="n"/>
      <c r="N237" s="20" t="n">
        <v>2537.2245</v>
      </c>
      <c r="O237" s="18" t="n">
        <v>14292.7755</v>
      </c>
      <c r="P237" s="16" t="inlineStr">
        <is>
          <t>GAMMA</t>
        </is>
      </c>
      <c r="Q237" s="16" t="inlineStr">
        <is>
          <t>FERRETERIA</t>
        </is>
      </c>
      <c r="R237" s="16" t="n"/>
      <c r="S237" s="16" t="n"/>
      <c r="T237" s="16" t="n"/>
      <c r="U237" s="16" t="n"/>
    </row>
    <row r="238">
      <c r="A238" s="37" t="n"/>
      <c r="B238" s="16" t="n">
        <v>1298</v>
      </c>
      <c r="C238" s="16" t="inlineStr">
        <is>
          <t>Maxi</t>
        </is>
      </c>
      <c r="D238" s="17" t="n">
        <v>46142</v>
      </c>
      <c r="E238" s="16" t="inlineStr">
        <is>
          <t>MONCAR</t>
        </is>
      </c>
      <c r="F238" s="16" t="inlineStr">
        <is>
          <t>CF 552</t>
        </is>
      </c>
      <c r="G238" s="18" t="n">
        <v>5</v>
      </c>
      <c r="H238" s="16" t="inlineStr">
        <is>
          <t>FERRETERIA OLLEROS</t>
        </is>
      </c>
      <c r="I238" s="19" t="n"/>
      <c r="J238" s="18">
        <f>IF(TRIM(F238)="","",IF(LEFT(TRIM(F238),2)="RM",IFERROR(IF(D238&gt;=DATE(2026,4,1),INDEX('LP RMH'!$F:$F,MATCH(TRIM(F238),'LP RMH'!$A:$A,0)),INDEX('LP RMH'!$E:$E,MATCH(TRIM(F238),'LP RMH'!$A:$A,0))),0),IFERROR(INDEX('LP MONCAR'!$E:$E,MATCH(TRIM(F238),'LP MONCAR'!$A:$A,0)),0)))</f>
        <v/>
      </c>
      <c r="K238" s="18" t="n">
        <v>15235</v>
      </c>
      <c r="L238" s="16" t="inlineStr">
        <is>
          <t>2026-04</t>
        </is>
      </c>
      <c r="M238" s="16" t="n"/>
      <c r="N238" s="20" t="n">
        <v>1940.2305</v>
      </c>
      <c r="O238" s="18" t="n">
        <v>13294.7695</v>
      </c>
      <c r="P238" s="16" t="inlineStr">
        <is>
          <t>MAKITA</t>
        </is>
      </c>
      <c r="Q238" s="16" t="inlineStr">
        <is>
          <t>FERRETERIA</t>
        </is>
      </c>
      <c r="R238" s="16" t="n"/>
      <c r="S238" s="16" t="n"/>
      <c r="T238" s="16" t="n"/>
      <c r="U238" s="16" t="n"/>
    </row>
    <row r="239">
      <c r="A239" s="37" t="n"/>
      <c r="B239" s="16" t="n">
        <v>1298</v>
      </c>
      <c r="C239" s="16" t="inlineStr">
        <is>
          <t>Maxi</t>
        </is>
      </c>
      <c r="D239" s="17" t="n">
        <v>46142</v>
      </c>
      <c r="E239" s="16" t="inlineStr">
        <is>
          <t>MONCAR</t>
        </is>
      </c>
      <c r="F239" s="16" t="inlineStr">
        <is>
          <t>CF 658</t>
        </is>
      </c>
      <c r="G239" s="18" t="n">
        <v>5</v>
      </c>
      <c r="H239" s="16" t="inlineStr">
        <is>
          <t>FERRETERIA OLLEROS</t>
        </is>
      </c>
      <c r="I239" s="19" t="n"/>
      <c r="J239" s="18">
        <f>IF(TRIM(F239)="","",IF(LEFT(TRIM(F239),2)="RM",IFERROR(IF(D239&gt;=DATE(2026,4,1),INDEX('LP RMH'!$F:$F,MATCH(TRIM(F239),'LP RMH'!$A:$A,0)),INDEX('LP RMH'!$E:$E,MATCH(TRIM(F239),'LP RMH'!$A:$A,0))),0),IFERROR(INDEX('LP MONCAR'!$E:$E,MATCH(TRIM(F239),'LP MONCAR'!$A:$A,0)),0)))</f>
        <v/>
      </c>
      <c r="K239" s="18" t="n">
        <v>13915</v>
      </c>
      <c r="L239" s="16" t="inlineStr">
        <is>
          <t>2026-04</t>
        </is>
      </c>
      <c r="M239" s="16" t="n"/>
      <c r="N239" s="20" t="n">
        <v>1641.7335</v>
      </c>
      <c r="O239" s="18" t="n">
        <v>12273.2665</v>
      </c>
      <c r="P239" s="16" t="inlineStr">
        <is>
          <t>SKIL</t>
        </is>
      </c>
      <c r="Q239" s="16" t="inlineStr">
        <is>
          <t>FERRETERIA</t>
        </is>
      </c>
      <c r="R239" s="16" t="n"/>
      <c r="S239" s="16" t="n"/>
      <c r="T239" s="16" t="n"/>
      <c r="U239" s="16" t="n"/>
    </row>
    <row r="240">
      <c r="A240" s="37" t="n"/>
      <c r="B240" s="16" t="n">
        <v>1298</v>
      </c>
      <c r="C240" s="16" t="inlineStr">
        <is>
          <t>Maxi</t>
        </is>
      </c>
      <c r="D240" s="17" t="n">
        <v>46142</v>
      </c>
      <c r="E240" s="16" t="inlineStr">
        <is>
          <t>MONCAR</t>
        </is>
      </c>
      <c r="F240" s="16" t="inlineStr">
        <is>
          <t>CF 665</t>
        </is>
      </c>
      <c r="G240" s="18" t="n">
        <v>20</v>
      </c>
      <c r="H240" s="16" t="inlineStr">
        <is>
          <t>FERRETERIA OLLEROS</t>
        </is>
      </c>
      <c r="I240" s="19" t="n"/>
      <c r="J240" s="18">
        <f>IF(TRIM(F240)="","",IF(LEFT(TRIM(F240),2)="RM",IFERROR(IF(D240&gt;=DATE(2026,4,1),INDEX('LP RMH'!$F:$F,MATCH(TRIM(F240),'LP RMH'!$A:$A,0)),INDEX('LP RMH'!$E:$E,MATCH(TRIM(F240),'LP RMH'!$A:$A,0))),0),IFERROR(INDEX('LP MONCAR'!$E:$E,MATCH(TRIM(F240),'LP MONCAR'!$A:$A,0)),0)))</f>
        <v/>
      </c>
      <c r="K240" s="18" t="n">
        <v>50600</v>
      </c>
      <c r="L240" s="16" t="inlineStr">
        <is>
          <t>2026-04</t>
        </is>
      </c>
      <c r="M240" s="16" t="n"/>
      <c r="N240" s="20" t="n">
        <v>5969.940000000001</v>
      </c>
      <c r="O240" s="18" t="n">
        <v>44630.06</v>
      </c>
      <c r="P240" s="16" t="inlineStr">
        <is>
          <t>BLACK Y DECKER</t>
        </is>
      </c>
      <c r="Q240" s="16" t="inlineStr">
        <is>
          <t>FERRETERIA</t>
        </is>
      </c>
      <c r="R240" s="16" t="n"/>
      <c r="S240" s="16" t="n"/>
      <c r="T240" s="16" t="n"/>
      <c r="U240" s="16" t="n"/>
    </row>
    <row r="241">
      <c r="A241" s="37" t="n"/>
      <c r="B241" s="16" t="n">
        <v>1292</v>
      </c>
      <c r="C241" s="16" t="inlineStr">
        <is>
          <t>Maxi</t>
        </is>
      </c>
      <c r="D241" s="17" t="n">
        <v>46142</v>
      </c>
      <c r="E241" s="16" t="inlineStr">
        <is>
          <t>MONCAR</t>
        </is>
      </c>
      <c r="F241" s="16" t="inlineStr">
        <is>
          <t>CF 614</t>
        </is>
      </c>
      <c r="G241" s="18" t="n">
        <v>5</v>
      </c>
      <c r="H241" s="16" t="inlineStr">
        <is>
          <t>IONLUX</t>
        </is>
      </c>
      <c r="I241" s="19" t="n"/>
      <c r="J241" s="18">
        <f>IF(TRIM(F241)="","",IF(LEFT(TRIM(F241),2)="RM",IFERROR(IF(D241&gt;=DATE(2026,4,1),INDEX('LP RMH'!$F:$F,MATCH(TRIM(F241),'LP RMH'!$A:$A,0)),INDEX('LP RMH'!$E:$E,MATCH(TRIM(F241),'LP RMH'!$A:$A,0))),0),IFERROR(INDEX('LP MONCAR'!$E:$E,MATCH(TRIM(F241),'LP MONCAR'!$A:$A,0)),0)))</f>
        <v/>
      </c>
      <c r="K241" s="18" t="n">
        <v>20350</v>
      </c>
      <c r="L241" s="16" t="inlineStr">
        <is>
          <t>2026-04</t>
        </is>
      </c>
      <c r="M241" s="16" t="n"/>
      <c r="N241" s="20" t="n">
        <v>2387.976</v>
      </c>
      <c r="O241" s="18" t="n">
        <v>17962.024</v>
      </c>
      <c r="P241" s="16" t="inlineStr">
        <is>
          <t>BOSCH</t>
        </is>
      </c>
      <c r="Q241" s="16" t="inlineStr">
        <is>
          <t>FERRETERIA</t>
        </is>
      </c>
      <c r="R241" s="16" t="n"/>
      <c r="S241" s="16" t="n"/>
      <c r="T241" s="16" t="n"/>
      <c r="U241" s="16" t="n"/>
    </row>
    <row r="242">
      <c r="A242" s="37" t="n"/>
      <c r="B242" s="16" t="n">
        <v>1292</v>
      </c>
      <c r="C242" s="16" t="inlineStr">
        <is>
          <t>Maxi</t>
        </is>
      </c>
      <c r="D242" s="17" t="n">
        <v>46142</v>
      </c>
      <c r="E242" s="16" t="inlineStr">
        <is>
          <t>MONCAR</t>
        </is>
      </c>
      <c r="F242" s="16" t="inlineStr">
        <is>
          <t>CF 712</t>
        </is>
      </c>
      <c r="G242" s="18" t="n">
        <v>5</v>
      </c>
      <c r="H242" s="16" t="inlineStr">
        <is>
          <t>IONLUX</t>
        </is>
      </c>
      <c r="I242" s="19" t="n"/>
      <c r="J242" s="18">
        <f>IF(TRIM(F242)="","",IF(LEFT(TRIM(F242),2)="RM",IFERROR(IF(D242&gt;=DATE(2026,4,1),INDEX('LP RMH'!$F:$F,MATCH(TRIM(F242),'LP RMH'!$A:$A,0)),INDEX('LP RMH'!$E:$E,MATCH(TRIM(F242),'LP RMH'!$A:$A,0))),0),IFERROR(INDEX('LP MONCAR'!$E:$E,MATCH(TRIM(F242),'LP MONCAR'!$A:$A,0)),0)))</f>
        <v/>
      </c>
      <c r="K242" s="18" t="n">
        <v>19305</v>
      </c>
      <c r="L242" s="16" t="inlineStr">
        <is>
          <t>2026-04</t>
        </is>
      </c>
      <c r="M242" s="16" t="n"/>
      <c r="N242" s="20" t="n"/>
      <c r="O242" s="18" t="n"/>
      <c r="P242" s="16" t="inlineStr">
        <is>
          <t>GAMMA</t>
        </is>
      </c>
      <c r="Q242" s="16" t="inlineStr">
        <is>
          <t>FERRETERIA</t>
        </is>
      </c>
      <c r="R242" s="16" t="n"/>
      <c r="S242" s="16" t="n"/>
      <c r="T242" s="16" t="n"/>
      <c r="U242" s="16" t="n"/>
    </row>
    <row r="243">
      <c r="A243" s="37" t="n"/>
      <c r="B243" s="16" t="n">
        <v>1292</v>
      </c>
      <c r="C243" s="16" t="inlineStr">
        <is>
          <t>Maxi</t>
        </is>
      </c>
      <c r="D243" s="17" t="n">
        <v>46142</v>
      </c>
      <c r="E243" s="16" t="inlineStr">
        <is>
          <t>MONCAR</t>
        </is>
      </c>
      <c r="F243" s="16" t="inlineStr">
        <is>
          <t>CF 040</t>
        </is>
      </c>
      <c r="G243" s="18" t="n">
        <v>5</v>
      </c>
      <c r="H243" s="16" t="inlineStr">
        <is>
          <t>IONLUX</t>
        </is>
      </c>
      <c r="I243" s="19" t="n"/>
      <c r="J243" s="18">
        <f>IF(TRIM(F243)="","",IF(LEFT(TRIM(F243),2)="RM",IFERROR(IF(D243&gt;=DATE(2026,4,1),INDEX('LP RMH'!$F:$F,MATCH(TRIM(F243),'LP RMH'!$A:$A,0)),INDEX('LP RMH'!$E:$E,MATCH(TRIM(F243),'LP RMH'!$A:$A,0))),0),IFERROR(INDEX('LP MONCAR'!$E:$E,MATCH(TRIM(F243),'LP MONCAR'!$A:$A,0)),0)))</f>
        <v/>
      </c>
      <c r="K243" s="18" t="n">
        <v>27115</v>
      </c>
      <c r="L243" s="16" t="inlineStr">
        <is>
          <t>2026-04</t>
        </is>
      </c>
      <c r="M243" s="16" t="n"/>
      <c r="N243" s="20" t="n">
        <v>3283.467</v>
      </c>
      <c r="O243" s="18" t="n">
        <v>23831.533</v>
      </c>
      <c r="P243" s="16" t="inlineStr">
        <is>
          <t>HITACHI</t>
        </is>
      </c>
      <c r="Q243" s="16" t="inlineStr">
        <is>
          <t>FERRETERIA</t>
        </is>
      </c>
      <c r="R243" s="16" t="n"/>
      <c r="S243" s="16" t="n"/>
      <c r="T243" s="16" t="n"/>
      <c r="U243" s="16" t="n"/>
    </row>
    <row r="244">
      <c r="A244" s="37" t="n"/>
      <c r="B244" s="16" t="n">
        <v>1292</v>
      </c>
      <c r="C244" s="16" t="inlineStr">
        <is>
          <t>Maxi</t>
        </is>
      </c>
      <c r="D244" s="17" t="n">
        <v>46142</v>
      </c>
      <c r="E244" s="16" t="inlineStr">
        <is>
          <t>MONCAR</t>
        </is>
      </c>
      <c r="F244" s="16" t="inlineStr">
        <is>
          <t>CF 042</t>
        </is>
      </c>
      <c r="G244" s="18" t="n">
        <v>5</v>
      </c>
      <c r="H244" s="16" t="inlineStr">
        <is>
          <t>IONLUX</t>
        </is>
      </c>
      <c r="I244" s="19" t="n"/>
      <c r="J244" s="18">
        <f>IF(TRIM(F244)="","",IF(LEFT(TRIM(F244),2)="RM",IFERROR(IF(D244&gt;=DATE(2026,4,1),INDEX('LP RMH'!$F:$F,MATCH(TRIM(F244),'LP RMH'!$A:$A,0)),INDEX('LP RMH'!$E:$E,MATCH(TRIM(F244),'LP RMH'!$A:$A,0))),0),IFERROR(INDEX('LP MONCAR'!$E:$E,MATCH(TRIM(F244),'LP MONCAR'!$A:$A,0)),0)))</f>
        <v/>
      </c>
      <c r="K244" s="18" t="n">
        <v>27665</v>
      </c>
      <c r="L244" s="16" t="inlineStr">
        <is>
          <t>2026-04</t>
        </is>
      </c>
      <c r="M244" s="16" t="n"/>
      <c r="N244" s="20" t="n">
        <v>3283.467</v>
      </c>
      <c r="O244" s="18" t="n">
        <v>24381.533</v>
      </c>
      <c r="P244" s="16" t="inlineStr">
        <is>
          <t>HITACHI</t>
        </is>
      </c>
      <c r="Q244" s="16" t="inlineStr">
        <is>
          <t>FERRETERIA</t>
        </is>
      </c>
      <c r="R244" s="16" t="n"/>
      <c r="S244" s="16" t="n"/>
      <c r="T244" s="16" t="n"/>
      <c r="U244" s="16" t="n"/>
    </row>
    <row r="245">
      <c r="A245" s="37" t="n"/>
      <c r="B245" s="16" t="n">
        <v>1292</v>
      </c>
      <c r="C245" s="16" t="inlineStr">
        <is>
          <t>Maxi</t>
        </is>
      </c>
      <c r="D245" s="17" t="n">
        <v>46142</v>
      </c>
      <c r="E245" s="16" t="inlineStr">
        <is>
          <t>MONCAR</t>
        </is>
      </c>
      <c r="F245" s="16" t="inlineStr">
        <is>
          <t>CF 635</t>
        </is>
      </c>
      <c r="G245" s="18" t="n">
        <v>5</v>
      </c>
      <c r="H245" s="16" t="inlineStr">
        <is>
          <t>IONLUX</t>
        </is>
      </c>
      <c r="I245" s="19" t="n"/>
      <c r="J245" s="18">
        <f>IF(TRIM(F245)="","",IF(LEFT(TRIM(F245),2)="RM",IFERROR(IF(D245&gt;=DATE(2026,4,1),INDEX('LP RMH'!$F:$F,MATCH(TRIM(F245),'LP RMH'!$A:$A,0)),INDEX('LP RMH'!$E:$E,MATCH(TRIM(F245),'LP RMH'!$A:$A,0))),0),IFERROR(INDEX('LP MONCAR'!$E:$E,MATCH(TRIM(F245),'LP MONCAR'!$A:$A,0)),0)))</f>
        <v/>
      </c>
      <c r="K245" s="18" t="n">
        <v>14500</v>
      </c>
      <c r="L245" s="16" t="inlineStr">
        <is>
          <t>2026-04</t>
        </is>
      </c>
      <c r="M245" s="16" t="n"/>
      <c r="N245" s="20" t="n">
        <v>1492.485</v>
      </c>
      <c r="O245" s="18" t="n">
        <v>13007.515</v>
      </c>
      <c r="P245" s="16" t="inlineStr">
        <is>
          <t>MAKITA</t>
        </is>
      </c>
      <c r="Q245" s="16" t="inlineStr">
        <is>
          <t>FERRETERIA</t>
        </is>
      </c>
      <c r="R245" s="16" t="n"/>
      <c r="S245" s="16" t="n"/>
      <c r="T245" s="16" t="n"/>
      <c r="U245" s="16" t="n"/>
    </row>
    <row r="246">
      <c r="A246" s="37" t="n"/>
      <c r="B246" s="16" t="n">
        <v>1292</v>
      </c>
      <c r="C246" s="16" t="inlineStr">
        <is>
          <t>Maxi</t>
        </is>
      </c>
      <c r="D246" s="17" t="n">
        <v>46142</v>
      </c>
      <c r="E246" s="16" t="inlineStr">
        <is>
          <t>MONCAR</t>
        </is>
      </c>
      <c r="F246" s="16" t="inlineStr">
        <is>
          <t>CF 492</t>
        </is>
      </c>
      <c r="G246" s="18" t="n">
        <v>5</v>
      </c>
      <c r="H246" s="16" t="inlineStr">
        <is>
          <t>IONLUX</t>
        </is>
      </c>
      <c r="I246" s="19" t="n"/>
      <c r="J246" s="18">
        <f>IF(TRIM(F246)="","",IF(LEFT(TRIM(F246),2)="RM",IFERROR(IF(D246&gt;=DATE(2026,4,1),INDEX('LP RMH'!$F:$F,MATCH(TRIM(F246),'LP RMH'!$A:$A,0)),INDEX('LP RMH'!$E:$E,MATCH(TRIM(F246),'LP RMH'!$A:$A,0))),0),IFERROR(INDEX('LP MONCAR'!$E:$E,MATCH(TRIM(F246),'LP MONCAR'!$A:$A,0)),0)))</f>
        <v/>
      </c>
      <c r="K246" s="18" t="n">
        <v>28215</v>
      </c>
      <c r="L246" s="16" t="inlineStr">
        <is>
          <t>2026-04</t>
        </is>
      </c>
      <c r="M246" s="16" t="n"/>
      <c r="N246" s="20" t="n">
        <v>3432.7155</v>
      </c>
      <c r="O246" s="18" t="n">
        <v>24782.2845</v>
      </c>
      <c r="P246" s="16" t="inlineStr">
        <is>
          <t>STINGRAY</t>
        </is>
      </c>
      <c r="Q246" s="16" t="inlineStr">
        <is>
          <t>FERRETERIA</t>
        </is>
      </c>
      <c r="R246" s="16" t="n"/>
      <c r="S246" s="16" t="n"/>
      <c r="T246" s="16" t="n"/>
      <c r="U246" s="16" t="n"/>
    </row>
    <row r="247">
      <c r="A247" s="37" t="n"/>
      <c r="B247" s="16" t="n">
        <v>1717</v>
      </c>
      <c r="C247" s="16" t="inlineStr">
        <is>
          <t>Maxi</t>
        </is>
      </c>
      <c r="D247" s="17" t="n">
        <v>45953</v>
      </c>
      <c r="E247" s="16" t="inlineStr">
        <is>
          <t>RMH</t>
        </is>
      </c>
      <c r="F247" s="16" t="inlineStr">
        <is>
          <t>RM 023</t>
        </is>
      </c>
      <c r="G247" s="18" t="n">
        <v>5</v>
      </c>
      <c r="H247" s="16" t="inlineStr">
        <is>
          <t>FERRETERÍA ROSSI</t>
        </is>
      </c>
      <c r="I247" s="19" t="n"/>
      <c r="J247" s="18">
        <f>IF(TRIM(F247)="","",IF(LEFT(TRIM(F247),2)="RM",IFERROR(IF(D247&gt;=DATE(2026,4,1),INDEX('LP RMH'!$F:$F,MATCH(TRIM(F247),'LP RMH'!$A:$A,0)),INDEX('LP RMH'!$E:$E,MATCH(TRIM(F247),'LP RMH'!$A:$A,0))),0),IFERROR(INDEX('LP MONCAR'!$E:$E,MATCH(TRIM(F247),'LP MONCAR'!$A:$A,0)),0)))</f>
        <v/>
      </c>
      <c r="K247" s="18" t="n">
        <v>18250</v>
      </c>
      <c r="L247" s="16" t="inlineStr">
        <is>
          <t>2025-10</t>
        </is>
      </c>
      <c r="M247" s="16" t="n"/>
      <c r="N247" s="20" t="n"/>
      <c r="O247" s="18" t="n"/>
      <c r="P247" s="16" t="n"/>
      <c r="Q247" s="16" t="n"/>
      <c r="R247" s="16" t="n"/>
      <c r="S247" s="16" t="n"/>
      <c r="T247" s="16" t="n"/>
      <c r="U247" s="16" t="n"/>
    </row>
    <row r="248">
      <c r="A248" s="37" t="n"/>
      <c r="B248" s="16" t="n">
        <v>1717</v>
      </c>
      <c r="C248" s="16" t="inlineStr">
        <is>
          <t>Maxi</t>
        </is>
      </c>
      <c r="D248" s="17" t="n">
        <v>45953</v>
      </c>
      <c r="E248" s="16" t="inlineStr">
        <is>
          <t>RMH</t>
        </is>
      </c>
      <c r="F248" s="16" t="inlineStr">
        <is>
          <t>RM 035</t>
        </is>
      </c>
      <c r="G248" s="18" t="n">
        <v>5</v>
      </c>
      <c r="H248" s="16" t="inlineStr">
        <is>
          <t>FERRETERÍA ROSSI</t>
        </is>
      </c>
      <c r="I248" s="19" t="n"/>
      <c r="J248" s="18">
        <f>IF(TRIM(F248)="","",IF(LEFT(TRIM(F248),2)="RM",IFERROR(IF(D248&gt;=DATE(2026,4,1),INDEX('LP RMH'!$F:$F,MATCH(TRIM(F248),'LP RMH'!$A:$A,0)),INDEX('LP RMH'!$E:$E,MATCH(TRIM(F248),'LP RMH'!$A:$A,0))),0),IFERROR(INDEX('LP MONCAR'!$E:$E,MATCH(TRIM(F248),'LP MONCAR'!$A:$A,0)),0)))</f>
        <v/>
      </c>
      <c r="K248" s="18" t="n">
        <v>19250</v>
      </c>
      <c r="L248" s="16" t="inlineStr">
        <is>
          <t>2025-10</t>
        </is>
      </c>
      <c r="M248" s="16" t="n"/>
      <c r="N248" s="20" t="n"/>
      <c r="O248" s="18" t="n"/>
      <c r="P248" s="16" t="n"/>
      <c r="Q248" s="16" t="n"/>
      <c r="R248" s="16" t="n"/>
      <c r="S248" s="16" t="n"/>
      <c r="T248" s="16" t="n"/>
      <c r="U248" s="16" t="n"/>
    </row>
    <row r="249">
      <c r="A249" s="37" t="n"/>
      <c r="B249" s="16" t="n">
        <v>1718</v>
      </c>
      <c r="C249" s="16" t="inlineStr">
        <is>
          <t>Maxi</t>
        </is>
      </c>
      <c r="D249" s="17" t="n">
        <v>45954</v>
      </c>
      <c r="E249" s="16" t="inlineStr">
        <is>
          <t>RMH</t>
        </is>
      </c>
      <c r="F249" s="16" t="inlineStr">
        <is>
          <t>RM 032</t>
        </is>
      </c>
      <c r="G249" s="18" t="n">
        <v>3</v>
      </c>
      <c r="H249" s="16" t="inlineStr">
        <is>
          <t>FER. VESTO ROJAS</t>
        </is>
      </c>
      <c r="I249" s="19" t="n"/>
      <c r="J249" s="18">
        <f>IF(TRIM(F249)="","",IF(LEFT(TRIM(F249),2)="RM",IFERROR(IF(D249&gt;=DATE(2026,4,1),INDEX('LP RMH'!$F:$F,MATCH(TRIM(F249),'LP RMH'!$A:$A,0)),INDEX('LP RMH'!$E:$E,MATCH(TRIM(F249),'LP RMH'!$A:$A,0))),0),IFERROR(INDEX('LP MONCAR'!$E:$E,MATCH(TRIM(F249),'LP MONCAR'!$A:$A,0)),0)))</f>
        <v/>
      </c>
      <c r="K249" s="18" t="n">
        <v>33000</v>
      </c>
      <c r="L249" s="16" t="inlineStr">
        <is>
          <t>2025-10</t>
        </is>
      </c>
      <c r="M249" s="16" t="n"/>
      <c r="N249" s="20" t="n"/>
      <c r="O249" s="18" t="n"/>
      <c r="P249" s="16" t="n"/>
      <c r="Q249" s="16" t="n"/>
      <c r="R249" s="16" t="n"/>
      <c r="S249" s="16" t="n"/>
      <c r="T249" s="16" t="n"/>
      <c r="U249" s="16" t="n"/>
    </row>
    <row r="250">
      <c r="A250" s="37" t="n"/>
      <c r="B250" s="16" t="n">
        <v>1718</v>
      </c>
      <c r="C250" s="16" t="inlineStr">
        <is>
          <t>Maxi</t>
        </is>
      </c>
      <c r="D250" s="17" t="n">
        <v>45954</v>
      </c>
      <c r="E250" s="16" t="inlineStr">
        <is>
          <t>RMH</t>
        </is>
      </c>
      <c r="F250" s="16" t="inlineStr">
        <is>
          <t>RM 033</t>
        </is>
      </c>
      <c r="G250" s="18" t="n">
        <v>5</v>
      </c>
      <c r="H250" s="16" t="inlineStr">
        <is>
          <t>FER. VESTO ROJAS</t>
        </is>
      </c>
      <c r="I250" s="19" t="n"/>
      <c r="J250" s="18">
        <f>IF(TRIM(F250)="","",IF(LEFT(TRIM(F250),2)="RM",IFERROR(IF(D250&gt;=DATE(2026,4,1),INDEX('LP RMH'!$F:$F,MATCH(TRIM(F250),'LP RMH'!$A:$A,0)),INDEX('LP RMH'!$E:$E,MATCH(TRIM(F250),'LP RMH'!$A:$A,0))),0),IFERROR(INDEX('LP MONCAR'!$E:$E,MATCH(TRIM(F250),'LP MONCAR'!$A:$A,0)),0)))</f>
        <v/>
      </c>
      <c r="K250" s="18" t="n">
        <v>58000</v>
      </c>
      <c r="L250" s="16" t="inlineStr">
        <is>
          <t>2025-10</t>
        </is>
      </c>
      <c r="M250" s="16" t="n"/>
      <c r="N250" s="20" t="n"/>
      <c r="O250" s="18" t="n"/>
      <c r="P250" s="16" t="n"/>
      <c r="Q250" s="16" t="n"/>
      <c r="R250" s="16" t="n"/>
      <c r="S250" s="16" t="n"/>
      <c r="T250" s="16" t="n"/>
      <c r="U250" s="16" t="n"/>
    </row>
    <row r="251">
      <c r="A251" s="37" t="n"/>
      <c r="B251" s="16" t="n">
        <v>1718</v>
      </c>
      <c r="C251" s="16" t="inlineStr">
        <is>
          <t>Maxi</t>
        </is>
      </c>
      <c r="D251" s="17" t="n">
        <v>45954</v>
      </c>
      <c r="E251" s="16" t="inlineStr">
        <is>
          <t>RMH</t>
        </is>
      </c>
      <c r="F251" s="16" t="inlineStr">
        <is>
          <t>RM 409</t>
        </is>
      </c>
      <c r="G251" s="18" t="n">
        <v>5</v>
      </c>
      <c r="H251" s="16" t="inlineStr">
        <is>
          <t>FER. VESTO ROJAS</t>
        </is>
      </c>
      <c r="I251" s="19" t="n"/>
      <c r="J251" s="18">
        <f>IF(TRIM(F251)="","",IF(LEFT(TRIM(F251),2)="RM",IFERROR(IF(D251&gt;=DATE(2026,4,1),INDEX('LP RMH'!$F:$F,MATCH(TRIM(F251),'LP RMH'!$A:$A,0)),INDEX('LP RMH'!$E:$E,MATCH(TRIM(F251),'LP RMH'!$A:$A,0))),0),IFERROR(INDEX('LP MONCAR'!$E:$E,MATCH(TRIM(F251),'LP MONCAR'!$A:$A,0)),0)))</f>
        <v/>
      </c>
      <c r="K251" s="18" t="n">
        <v>20000</v>
      </c>
      <c r="L251" s="16" t="inlineStr">
        <is>
          <t>2025-10</t>
        </is>
      </c>
      <c r="M251" s="16" t="n"/>
      <c r="N251" s="20" t="n"/>
      <c r="O251" s="18" t="n"/>
      <c r="P251" s="16" t="n"/>
      <c r="Q251" s="16" t="n"/>
      <c r="R251" s="16" t="n"/>
      <c r="S251" s="16" t="n"/>
      <c r="T251" s="16" t="n"/>
      <c r="U251" s="16" t="n"/>
    </row>
    <row r="252">
      <c r="A252" s="37" t="n"/>
      <c r="B252" s="16" t="n">
        <v>1718</v>
      </c>
      <c r="C252" s="16" t="inlineStr">
        <is>
          <t>Maxi</t>
        </is>
      </c>
      <c r="D252" s="17" t="n">
        <v>45954</v>
      </c>
      <c r="E252" s="16" t="inlineStr">
        <is>
          <t>RMH</t>
        </is>
      </c>
      <c r="F252" s="16" t="inlineStr">
        <is>
          <t>RM 418</t>
        </is>
      </c>
      <c r="G252" s="18" t="n">
        <v>5</v>
      </c>
      <c r="H252" s="16" t="inlineStr">
        <is>
          <t>FER. VESTO ROJAS</t>
        </is>
      </c>
      <c r="I252" s="19" t="n"/>
      <c r="J252" s="18">
        <f>IF(TRIM(F252)="","",IF(LEFT(TRIM(F252),2)="RM",IFERROR(IF(D252&gt;=DATE(2026,4,1),INDEX('LP RMH'!$F:$F,MATCH(TRIM(F252),'LP RMH'!$A:$A,0)),INDEX('LP RMH'!$E:$E,MATCH(TRIM(F252),'LP RMH'!$A:$A,0))),0),IFERROR(INDEX('LP MONCAR'!$E:$E,MATCH(TRIM(F252),'LP MONCAR'!$A:$A,0)),0)))</f>
        <v/>
      </c>
      <c r="K252" s="18" t="n">
        <v>82500</v>
      </c>
      <c r="L252" s="16" t="inlineStr">
        <is>
          <t>2025-10</t>
        </is>
      </c>
      <c r="M252" s="16" t="n"/>
      <c r="N252" s="20" t="n"/>
      <c r="O252" s="18" t="n"/>
      <c r="P252" s="16" t="n"/>
      <c r="Q252" s="16" t="n"/>
      <c r="R252" s="16" t="n"/>
      <c r="S252" s="16" t="n"/>
      <c r="T252" s="16" t="n"/>
      <c r="U252" s="16" t="n"/>
    </row>
    <row r="253">
      <c r="A253" s="37" t="n"/>
      <c r="B253" s="16" t="n">
        <v>1718</v>
      </c>
      <c r="C253" s="16" t="inlineStr">
        <is>
          <t>Maxi</t>
        </is>
      </c>
      <c r="D253" s="17" t="n">
        <v>45954</v>
      </c>
      <c r="E253" s="16" t="inlineStr">
        <is>
          <t>RMH</t>
        </is>
      </c>
      <c r="F253" s="16" t="inlineStr">
        <is>
          <t>RM 506</t>
        </is>
      </c>
      <c r="G253" s="18" t="n">
        <v>5</v>
      </c>
      <c r="H253" s="16" t="inlineStr">
        <is>
          <t>FER. VESTO ROJAS</t>
        </is>
      </c>
      <c r="I253" s="19" t="n"/>
      <c r="J253" s="18">
        <f>IF(TRIM(F253)="","",IF(LEFT(TRIM(F253),2)="RM",IFERROR(IF(D253&gt;=DATE(2026,4,1),INDEX('LP RMH'!$F:$F,MATCH(TRIM(F253),'LP RMH'!$A:$A,0)),INDEX('LP RMH'!$E:$E,MATCH(TRIM(F253),'LP RMH'!$A:$A,0))),0),IFERROR(INDEX('LP MONCAR'!$E:$E,MATCH(TRIM(F253),'LP MONCAR'!$A:$A,0)),0)))</f>
        <v/>
      </c>
      <c r="K253" s="18" t="n">
        <v>23500</v>
      </c>
      <c r="L253" s="16" t="inlineStr">
        <is>
          <t>2025-10</t>
        </is>
      </c>
      <c r="M253" s="16" t="n"/>
      <c r="N253" s="20" t="n"/>
      <c r="O253" s="18" t="n"/>
      <c r="P253" s="16" t="n"/>
      <c r="Q253" s="16" t="n"/>
      <c r="R253" s="16" t="n"/>
      <c r="S253" s="16" t="n"/>
      <c r="T253" s="16" t="n"/>
      <c r="U253" s="16" t="n"/>
    </row>
    <row r="254">
      <c r="A254" s="37" t="n"/>
      <c r="B254" s="16" t="n">
        <v>1718</v>
      </c>
      <c r="C254" s="16" t="inlineStr">
        <is>
          <t>Maxi</t>
        </is>
      </c>
      <c r="D254" s="17" t="n">
        <v>45954</v>
      </c>
      <c r="E254" s="16" t="inlineStr">
        <is>
          <t>RMH</t>
        </is>
      </c>
      <c r="F254" s="16" t="inlineStr">
        <is>
          <t>RM 714</t>
        </is>
      </c>
      <c r="G254" s="18" t="n">
        <v>3</v>
      </c>
      <c r="H254" s="16" t="inlineStr">
        <is>
          <t>FER. VESTO ROJAS</t>
        </is>
      </c>
      <c r="I254" s="19" t="n"/>
      <c r="J254" s="18">
        <f>IF(TRIM(F254)="","",IF(LEFT(TRIM(F254),2)="RM",IFERROR(IF(D254&gt;=DATE(2026,4,1),INDEX('LP RMH'!$F:$F,MATCH(TRIM(F254),'LP RMH'!$A:$A,0)),INDEX('LP RMH'!$E:$E,MATCH(TRIM(F254),'LP RMH'!$A:$A,0))),0),IFERROR(INDEX('LP MONCAR'!$E:$E,MATCH(TRIM(F254),'LP MONCAR'!$A:$A,0)),0)))</f>
        <v/>
      </c>
      <c r="K254" s="18" t="n">
        <v>50100</v>
      </c>
      <c r="L254" s="16" t="inlineStr">
        <is>
          <t>2025-10</t>
        </is>
      </c>
      <c r="M254" s="16" t="n"/>
      <c r="N254" s="20" t="n"/>
      <c r="O254" s="18" t="n"/>
      <c r="P254" s="16" t="n"/>
      <c r="Q254" s="16" t="n"/>
      <c r="R254" s="16" t="n"/>
      <c r="S254" s="16" t="n"/>
      <c r="T254" s="16" t="n"/>
      <c r="U254" s="16" t="n"/>
    </row>
    <row r="255">
      <c r="A255" s="37" t="n"/>
      <c r="B255" s="16" t="n">
        <v>1718</v>
      </c>
      <c r="C255" s="16" t="inlineStr">
        <is>
          <t>Maxi</t>
        </is>
      </c>
      <c r="D255" s="17" t="n">
        <v>45954</v>
      </c>
      <c r="E255" s="16" t="inlineStr">
        <is>
          <t>RMH</t>
        </is>
      </c>
      <c r="F255" s="16" t="inlineStr">
        <is>
          <t>RM 716</t>
        </is>
      </c>
      <c r="G255" s="18" t="n">
        <v>3</v>
      </c>
      <c r="H255" s="16" t="inlineStr">
        <is>
          <t>FER. VESTO ROJAS</t>
        </is>
      </c>
      <c r="I255" s="19" t="n"/>
      <c r="J255" s="18">
        <f>IF(TRIM(F255)="","",IF(LEFT(TRIM(F255),2)="RM",IFERROR(IF(D255&gt;=DATE(2026,4,1),INDEX('LP RMH'!$F:$F,MATCH(TRIM(F255),'LP RMH'!$A:$A,0)),INDEX('LP RMH'!$E:$E,MATCH(TRIM(F255),'LP RMH'!$A:$A,0))),0),IFERROR(INDEX('LP MONCAR'!$E:$E,MATCH(TRIM(F255),'LP MONCAR'!$A:$A,0)),0)))</f>
        <v/>
      </c>
      <c r="K255" s="18" t="n">
        <v>18900</v>
      </c>
      <c r="L255" s="16" t="inlineStr">
        <is>
          <t>2025-10</t>
        </is>
      </c>
      <c r="M255" s="16" t="n"/>
      <c r="N255" s="20" t="n"/>
      <c r="O255" s="18" t="n"/>
      <c r="P255" s="16" t="n"/>
      <c r="Q255" s="16" t="n"/>
      <c r="R255" s="16" t="n"/>
      <c r="S255" s="16" t="n"/>
      <c r="T255" s="16" t="n"/>
      <c r="U255" s="16" t="n"/>
    </row>
    <row r="256">
      <c r="A256" s="37" t="n"/>
      <c r="B256" s="16" t="n">
        <v>1714</v>
      </c>
      <c r="C256" s="16" t="inlineStr">
        <is>
          <t>Maxi</t>
        </is>
      </c>
      <c r="D256" s="17" t="n">
        <v>45953</v>
      </c>
      <c r="E256" s="16" t="inlineStr">
        <is>
          <t>RMH</t>
        </is>
      </c>
      <c r="F256" s="16" t="inlineStr">
        <is>
          <t>RM 022</t>
        </is>
      </c>
      <c r="G256" s="18" t="n">
        <v>2</v>
      </c>
      <c r="H256" s="16" t="inlineStr">
        <is>
          <t>MONSALVO</t>
        </is>
      </c>
      <c r="I256" s="19" t="n"/>
      <c r="J256" s="18">
        <f>IF(TRIM(F256)="","",IF(LEFT(TRIM(F256),2)="RM",IFERROR(IF(D256&gt;=DATE(2026,4,1),INDEX('LP RMH'!$F:$F,MATCH(TRIM(F256),'LP RMH'!$A:$A,0)),INDEX('LP RMH'!$E:$E,MATCH(TRIM(F256),'LP RMH'!$A:$A,0))),0),IFERROR(INDEX('LP MONCAR'!$E:$E,MATCH(TRIM(F256),'LP MONCAR'!$A:$A,0)),0)))</f>
        <v/>
      </c>
      <c r="K256" s="18" t="n">
        <v>8000</v>
      </c>
      <c r="L256" s="16" t="inlineStr">
        <is>
          <t>2025-10</t>
        </is>
      </c>
      <c r="M256" s="16" t="n"/>
      <c r="N256" s="20" t="n"/>
      <c r="O256" s="18" t="n"/>
      <c r="P256" s="16" t="n"/>
      <c r="Q256" s="16" t="n"/>
      <c r="R256" s="16" t="n"/>
      <c r="S256" s="16" t="n"/>
      <c r="T256" s="16" t="n"/>
      <c r="U256" s="16" t="n"/>
    </row>
    <row r="257">
      <c r="A257" s="37" t="n"/>
      <c r="B257" s="16" t="n">
        <v>1714</v>
      </c>
      <c r="C257" s="16" t="inlineStr">
        <is>
          <t>Maxi</t>
        </is>
      </c>
      <c r="D257" s="17" t="n">
        <v>45953</v>
      </c>
      <c r="E257" s="16" t="inlineStr">
        <is>
          <t>RMH</t>
        </is>
      </c>
      <c r="F257" s="16" t="inlineStr">
        <is>
          <t>RM 040</t>
        </is>
      </c>
      <c r="G257" s="18" t="n">
        <v>1</v>
      </c>
      <c r="H257" s="16" t="inlineStr">
        <is>
          <t>MONSALVO</t>
        </is>
      </c>
      <c r="I257" s="19" t="n"/>
      <c r="J257" s="18">
        <f>IF(TRIM(F257)="","",IF(LEFT(TRIM(F257),2)="RM",IFERROR(IF(D257&gt;=DATE(2026,4,1),INDEX('LP RMH'!$F:$F,MATCH(TRIM(F257),'LP RMH'!$A:$A,0)),INDEX('LP RMH'!$E:$E,MATCH(TRIM(F257),'LP RMH'!$A:$A,0))),0),IFERROR(INDEX('LP MONCAR'!$E:$E,MATCH(TRIM(F257),'LP MONCAR'!$A:$A,0)),0)))</f>
        <v/>
      </c>
      <c r="K257" s="18" t="n">
        <v>3650</v>
      </c>
      <c r="L257" s="16" t="inlineStr">
        <is>
          <t>2025-10</t>
        </is>
      </c>
      <c r="M257" s="16" t="n"/>
      <c r="N257" s="20" t="n"/>
      <c r="O257" s="18" t="n"/>
      <c r="P257" s="16" t="n"/>
      <c r="Q257" s="16" t="n"/>
      <c r="R257" s="16" t="n"/>
      <c r="S257" s="16" t="n"/>
      <c r="T257" s="16" t="n"/>
      <c r="U257" s="16" t="n"/>
    </row>
    <row r="258">
      <c r="A258" s="37" t="n"/>
      <c r="B258" s="16" t="n">
        <v>1714</v>
      </c>
      <c r="C258" s="16" t="inlineStr">
        <is>
          <t>Maxi</t>
        </is>
      </c>
      <c r="D258" s="17" t="n">
        <v>45953</v>
      </c>
      <c r="E258" s="16" t="inlineStr">
        <is>
          <t>RMH</t>
        </is>
      </c>
      <c r="F258" s="16" t="inlineStr">
        <is>
          <t>RM 101</t>
        </is>
      </c>
      <c r="G258" s="18" t="n">
        <v>1</v>
      </c>
      <c r="H258" s="16" t="inlineStr">
        <is>
          <t>MONSALVO</t>
        </is>
      </c>
      <c r="I258" s="19" t="n"/>
      <c r="J258" s="18">
        <f>IF(TRIM(F258)="","",IF(LEFT(TRIM(F258),2)="RM",IFERROR(IF(D258&gt;=DATE(2026,4,1),INDEX('LP RMH'!$F:$F,MATCH(TRIM(F258),'LP RMH'!$A:$A,0)),INDEX('LP RMH'!$E:$E,MATCH(TRIM(F258),'LP RMH'!$A:$A,0))),0),IFERROR(INDEX('LP MONCAR'!$E:$E,MATCH(TRIM(F258),'LP MONCAR'!$A:$A,0)),0)))</f>
        <v/>
      </c>
      <c r="K258" s="18" t="n">
        <v>17600</v>
      </c>
      <c r="L258" s="16" t="inlineStr">
        <is>
          <t>2025-10</t>
        </is>
      </c>
      <c r="M258" s="16" t="n"/>
      <c r="N258" s="20" t="n"/>
      <c r="O258" s="18" t="n"/>
      <c r="P258" s="16" t="n"/>
      <c r="Q258" s="16" t="n"/>
      <c r="R258" s="16" t="n"/>
      <c r="S258" s="16" t="n"/>
      <c r="T258" s="16" t="n"/>
      <c r="U258" s="16" t="n"/>
    </row>
    <row r="259">
      <c r="A259" s="37" t="n"/>
      <c r="B259" s="16" t="n">
        <v>1714</v>
      </c>
      <c r="C259" s="16" t="inlineStr">
        <is>
          <t>Maxi</t>
        </is>
      </c>
      <c r="D259" s="17" t="n">
        <v>45953</v>
      </c>
      <c r="E259" s="16" t="inlineStr">
        <is>
          <t>RMH</t>
        </is>
      </c>
      <c r="F259" s="16" t="inlineStr">
        <is>
          <t>RM 416</t>
        </is>
      </c>
      <c r="G259" s="18" t="n">
        <v>1</v>
      </c>
      <c r="H259" s="16" t="inlineStr">
        <is>
          <t>MONSALVO</t>
        </is>
      </c>
      <c r="I259" s="19" t="n"/>
      <c r="J259" s="18">
        <f>IF(TRIM(F259)="","",IF(LEFT(TRIM(F259),2)="RM",IFERROR(IF(D259&gt;=DATE(2026,4,1),INDEX('LP RMH'!$F:$F,MATCH(TRIM(F259),'LP RMH'!$A:$A,0)),INDEX('LP RMH'!$E:$E,MATCH(TRIM(F259),'LP RMH'!$A:$A,0))),0),IFERROR(INDEX('LP MONCAR'!$E:$E,MATCH(TRIM(F259),'LP MONCAR'!$A:$A,0)),0)))</f>
        <v/>
      </c>
      <c r="K259" s="18" t="n">
        <v>16700</v>
      </c>
      <c r="L259" s="16" t="inlineStr">
        <is>
          <t>2025-10</t>
        </is>
      </c>
      <c r="M259" s="16" t="n"/>
      <c r="N259" s="20" t="n"/>
      <c r="O259" s="18" t="n"/>
      <c r="P259" s="16" t="n"/>
      <c r="Q259" s="16" t="n"/>
      <c r="R259" s="16" t="n"/>
      <c r="S259" s="16" t="n"/>
      <c r="T259" s="16" t="n"/>
      <c r="U259" s="16" t="n"/>
    </row>
    <row r="260">
      <c r="A260" s="37" t="n"/>
      <c r="B260" s="16" t="n">
        <v>1713</v>
      </c>
      <c r="C260" s="16" t="inlineStr">
        <is>
          <t>Maxi</t>
        </is>
      </c>
      <c r="D260" s="17" t="n">
        <v>45951</v>
      </c>
      <c r="E260" s="16" t="inlineStr">
        <is>
          <t>RMH</t>
        </is>
      </c>
      <c r="F260" s="16" t="inlineStr">
        <is>
          <t>RM 035</t>
        </is>
      </c>
      <c r="G260" s="18" t="n">
        <v>4</v>
      </c>
      <c r="H260" s="16" t="inlineStr">
        <is>
          <t>LOMDI</t>
        </is>
      </c>
      <c r="I260" s="19" t="n"/>
      <c r="J260" s="18">
        <f>IF(TRIM(F260)="","",IF(LEFT(TRIM(F260),2)="RM",IFERROR(IF(D260&gt;=DATE(2026,4,1),INDEX('LP RMH'!$F:$F,MATCH(TRIM(F260),'LP RMH'!$A:$A,0)),INDEX('LP RMH'!$E:$E,MATCH(TRIM(F260),'LP RMH'!$A:$A,0))),0),IFERROR(INDEX('LP MONCAR'!$E:$E,MATCH(TRIM(F260),'LP MONCAR'!$A:$A,0)),0)))</f>
        <v/>
      </c>
      <c r="K260" s="18" t="n">
        <v>15400</v>
      </c>
      <c r="L260" s="16" t="inlineStr">
        <is>
          <t>2025-10</t>
        </is>
      </c>
      <c r="M260" s="16" t="n"/>
      <c r="N260" s="20" t="n"/>
      <c r="O260" s="18" t="n"/>
      <c r="P260" s="16" t="n"/>
      <c r="Q260" s="16" t="n"/>
      <c r="R260" s="16" t="n"/>
      <c r="S260" s="16" t="n"/>
      <c r="T260" s="16" t="n"/>
      <c r="U260" s="16" t="n"/>
    </row>
    <row r="261">
      <c r="A261" s="37" t="n"/>
      <c r="B261" s="16" t="n">
        <v>1712</v>
      </c>
      <c r="C261" s="16" t="inlineStr">
        <is>
          <t>Maxi</t>
        </is>
      </c>
      <c r="D261" s="17" t="n">
        <v>45946</v>
      </c>
      <c r="E261" s="16" t="inlineStr">
        <is>
          <t>RMH</t>
        </is>
      </c>
      <c r="F261" s="16" t="inlineStr">
        <is>
          <t>RM 033</t>
        </is>
      </c>
      <c r="G261" s="18" t="n">
        <v>2</v>
      </c>
      <c r="H261" s="16" t="inlineStr">
        <is>
          <t>R.V</t>
        </is>
      </c>
      <c r="I261" s="19" t="n"/>
      <c r="J261" s="18">
        <f>IF(TRIM(F261)="","",IF(LEFT(TRIM(F261),2)="RM",IFERROR(IF(D261&gt;=DATE(2026,4,1),INDEX('LP RMH'!$F:$F,MATCH(TRIM(F261),'LP RMH'!$A:$A,0)),INDEX('LP RMH'!$E:$E,MATCH(TRIM(F261),'LP RMH'!$A:$A,0))),0),IFERROR(INDEX('LP MONCAR'!$E:$E,MATCH(TRIM(F261),'LP MONCAR'!$A:$A,0)),0)))</f>
        <v/>
      </c>
      <c r="K261" s="18" t="n">
        <v>23200</v>
      </c>
      <c r="L261" s="16" t="inlineStr">
        <is>
          <t>2025-10</t>
        </is>
      </c>
      <c r="M261" s="16" t="n"/>
      <c r="N261" s="20" t="n"/>
      <c r="O261" s="18" t="n"/>
      <c r="P261" s="16" t="n"/>
      <c r="Q261" s="16" t="n"/>
      <c r="R261" s="16" t="inlineStr">
        <is>
          <t>zona oeste</t>
        </is>
      </c>
      <c r="S261" s="16" t="inlineStr">
        <is>
          <t>MORON</t>
        </is>
      </c>
      <c r="T261" s="16" t="inlineStr">
        <is>
          <t>Buenos Aires</t>
        </is>
      </c>
      <c r="U261" s="16" t="n"/>
    </row>
    <row r="262">
      <c r="A262" s="37" t="n"/>
      <c r="B262" s="16" t="n">
        <v>1712</v>
      </c>
      <c r="C262" s="16" t="inlineStr">
        <is>
          <t>Maxi</t>
        </is>
      </c>
      <c r="D262" s="17" t="n">
        <v>45946</v>
      </c>
      <c r="E262" s="16" t="inlineStr">
        <is>
          <t>RMH</t>
        </is>
      </c>
      <c r="F262" s="16" t="inlineStr">
        <is>
          <t>RM 425</t>
        </is>
      </c>
      <c r="G262" s="18" t="n">
        <v>2</v>
      </c>
      <c r="H262" s="16" t="inlineStr">
        <is>
          <t>R.V</t>
        </is>
      </c>
      <c r="I262" s="19" t="n"/>
      <c r="J262" s="18">
        <f>IF(TRIM(F262)="","",IF(LEFT(TRIM(F262),2)="RM",IFERROR(IF(D262&gt;=DATE(2026,4,1),INDEX('LP RMH'!$F:$F,MATCH(TRIM(F262),'LP RMH'!$A:$A,0)),INDEX('LP RMH'!$E:$E,MATCH(TRIM(F262),'LP RMH'!$A:$A,0))),0),IFERROR(INDEX('LP MONCAR'!$E:$E,MATCH(TRIM(F262),'LP MONCAR'!$A:$A,0)),0)))</f>
        <v/>
      </c>
      <c r="K262" s="18" t="n">
        <v>33000</v>
      </c>
      <c r="L262" s="16" t="inlineStr">
        <is>
          <t>2025-10</t>
        </is>
      </c>
      <c r="M262" s="16" t="n"/>
      <c r="N262" s="20" t="n"/>
      <c r="O262" s="18" t="n"/>
      <c r="P262" s="16" t="n"/>
      <c r="Q262" s="16" t="n"/>
      <c r="R262" s="16" t="inlineStr">
        <is>
          <t>zona oeste</t>
        </is>
      </c>
      <c r="S262" s="16" t="inlineStr">
        <is>
          <t>MORON</t>
        </is>
      </c>
      <c r="T262" s="16" t="inlineStr">
        <is>
          <t>Buenos Aires</t>
        </is>
      </c>
      <c r="U262" s="16" t="n"/>
    </row>
    <row r="263">
      <c r="A263" s="37" t="n"/>
      <c r="B263" s="16" t="n">
        <v>1715</v>
      </c>
      <c r="C263" s="16" t="inlineStr">
        <is>
          <t>Maxi</t>
        </is>
      </c>
      <c r="D263" s="17" t="n">
        <v>45953</v>
      </c>
      <c r="E263" s="16" t="inlineStr">
        <is>
          <t>RMH</t>
        </is>
      </c>
      <c r="F263" s="16" t="inlineStr">
        <is>
          <t>RM 035</t>
        </is>
      </c>
      <c r="G263" s="18" t="n">
        <v>10</v>
      </c>
      <c r="H263" s="16" t="inlineStr">
        <is>
          <t>Poggi Daniel</t>
        </is>
      </c>
      <c r="I263" s="19" t="n"/>
      <c r="J263" s="18">
        <f>IF(TRIM(F263)="","",IF(LEFT(TRIM(F263),2)="RM",IFERROR(IF(D263&gt;=DATE(2026,4,1),INDEX('LP RMH'!$F:$F,MATCH(TRIM(F263),'LP RMH'!$A:$A,0)),INDEX('LP RMH'!$E:$E,MATCH(TRIM(F263),'LP RMH'!$A:$A,0))),0),IFERROR(INDEX('LP MONCAR'!$E:$E,MATCH(TRIM(F263),'LP MONCAR'!$A:$A,0)),0)))</f>
        <v/>
      </c>
      <c r="K263" s="18" t="n">
        <v>38500</v>
      </c>
      <c r="L263" s="16" t="inlineStr">
        <is>
          <t>2025-10</t>
        </is>
      </c>
      <c r="M263" s="16" t="n"/>
      <c r="N263" s="20" t="n"/>
      <c r="O263" s="18" t="n"/>
      <c r="P263" s="16" t="n"/>
      <c r="Q263" s="16" t="n"/>
      <c r="R263" s="16" t="n"/>
      <c r="S263" s="16" t="n"/>
      <c r="T263" s="16" t="n"/>
      <c r="U263" s="16" t="n"/>
    </row>
    <row r="264">
      <c r="A264" s="37" t="n"/>
      <c r="B264" s="16" t="n">
        <v>1715</v>
      </c>
      <c r="C264" s="16" t="inlineStr">
        <is>
          <t>Maxi</t>
        </is>
      </c>
      <c r="D264" s="17" t="n">
        <v>45953</v>
      </c>
      <c r="E264" s="16" t="inlineStr">
        <is>
          <t>RMH</t>
        </is>
      </c>
      <c r="F264" s="16" t="inlineStr">
        <is>
          <t>RM 041</t>
        </is>
      </c>
      <c r="G264" s="18" t="n">
        <v>4</v>
      </c>
      <c r="H264" s="16" t="inlineStr">
        <is>
          <t>Poggi Daniel</t>
        </is>
      </c>
      <c r="I264" s="19" t="n"/>
      <c r="J264" s="18">
        <f>IF(TRIM(F264)="","",IF(LEFT(TRIM(F264),2)="RM",IFERROR(IF(D264&gt;=DATE(2026,4,1),INDEX('LP RMH'!$F:$F,MATCH(TRIM(F264),'LP RMH'!$A:$A,0)),INDEX('LP RMH'!$E:$E,MATCH(TRIM(F264),'LP RMH'!$A:$A,0))),0),IFERROR(INDEX('LP MONCAR'!$E:$E,MATCH(TRIM(F264),'LP MONCAR'!$A:$A,0)),0)))</f>
        <v/>
      </c>
      <c r="K264" s="18" t="n">
        <v>14600</v>
      </c>
      <c r="L264" s="16" t="inlineStr">
        <is>
          <t>2025-10</t>
        </is>
      </c>
      <c r="M264" s="16" t="n"/>
      <c r="N264" s="20" t="n"/>
      <c r="O264" s="18" t="n"/>
      <c r="P264" s="16" t="n"/>
      <c r="Q264" s="16" t="n"/>
      <c r="R264" s="16" t="n"/>
      <c r="S264" s="16" t="n"/>
      <c r="T264" s="16" t="n"/>
      <c r="U264" s="16" t="n"/>
    </row>
    <row r="265">
      <c r="A265" s="37" t="n"/>
      <c r="B265" s="16" t="n">
        <v>1710</v>
      </c>
      <c r="C265" s="16" t="inlineStr">
        <is>
          <t>Maxi</t>
        </is>
      </c>
      <c r="D265" s="17" t="n">
        <v>45944</v>
      </c>
      <c r="E265" s="16" t="inlineStr">
        <is>
          <t>RMH</t>
        </is>
      </c>
      <c r="F265" s="16" t="inlineStr">
        <is>
          <t>RM 023</t>
        </is>
      </c>
      <c r="G265" s="18" t="n">
        <v>4</v>
      </c>
      <c r="H265" s="16" t="inlineStr">
        <is>
          <t>CAMINO REAL</t>
        </is>
      </c>
      <c r="I265" s="19" t="n"/>
      <c r="J265" s="18">
        <f>IF(TRIM(F265)="","",IF(LEFT(TRIM(F265),2)="RM",IFERROR(IF(D265&gt;=DATE(2026,4,1),INDEX('LP RMH'!$F:$F,MATCH(TRIM(F265),'LP RMH'!$A:$A,0)),INDEX('LP RMH'!$E:$E,MATCH(TRIM(F265),'LP RMH'!$A:$A,0))),0),IFERROR(INDEX('LP MONCAR'!$E:$E,MATCH(TRIM(F265),'LP MONCAR'!$A:$A,0)),0)))</f>
        <v/>
      </c>
      <c r="K265" s="18" t="n">
        <v>14600</v>
      </c>
      <c r="L265" s="16" t="inlineStr">
        <is>
          <t>2025-10</t>
        </is>
      </c>
      <c r="M265" s="16" t="n"/>
      <c r="N265" s="20" t="n"/>
      <c r="O265" s="18" t="n"/>
      <c r="P265" s="16" t="n"/>
      <c r="Q265" s="16" t="n"/>
      <c r="R265" s="16" t="n"/>
      <c r="S265" s="16" t="n"/>
      <c r="T265" s="16" t="n"/>
      <c r="U265" s="16" t="n"/>
    </row>
    <row r="266">
      <c r="A266" s="37" t="n"/>
      <c r="B266" s="16" t="n">
        <v>1707</v>
      </c>
      <c r="C266" s="16" t="inlineStr">
        <is>
          <t>Maxi</t>
        </is>
      </c>
      <c r="D266" s="17" t="n">
        <v>45932</v>
      </c>
      <c r="E266" s="16" t="inlineStr">
        <is>
          <t>RMH</t>
        </is>
      </c>
      <c r="F266" s="16" t="inlineStr">
        <is>
          <t>RM 106</t>
        </is>
      </c>
      <c r="G266" s="18" t="n">
        <v>1</v>
      </c>
      <c r="H266" s="16" t="inlineStr">
        <is>
          <t>ELECTRO URIARTE</t>
        </is>
      </c>
      <c r="I266" s="19" t="n"/>
      <c r="J266" s="18">
        <f>IF(TRIM(F266)="","",IF(LEFT(TRIM(F266),2)="RM",IFERROR(IF(D266&gt;=DATE(2026,4,1),INDEX('LP RMH'!$F:$F,MATCH(TRIM(F266),'LP RMH'!$A:$A,0)),INDEX('LP RMH'!$E:$E,MATCH(TRIM(F266),'LP RMH'!$A:$A,0))),0),IFERROR(INDEX('LP MONCAR'!$E:$E,MATCH(TRIM(F266),'LP MONCAR'!$A:$A,0)),0)))</f>
        <v/>
      </c>
      <c r="K266" s="18" t="n">
        <v>12000</v>
      </c>
      <c r="L266" s="16" t="inlineStr">
        <is>
          <t>2025-10</t>
        </is>
      </c>
      <c r="M266" s="16" t="n"/>
      <c r="N266" s="20" t="n"/>
      <c r="O266" s="18" t="n"/>
      <c r="P266" s="16" t="n"/>
      <c r="Q266" s="16" t="n"/>
      <c r="R266" s="16" t="n"/>
      <c r="S266" s="16" t="inlineStr">
        <is>
          <t>Banfield</t>
        </is>
      </c>
      <c r="T266" s="16" t="n"/>
      <c r="U266" s="16" t="n"/>
    </row>
    <row r="267">
      <c r="A267" s="37" t="n"/>
      <c r="B267" s="16" t="n">
        <v>1708</v>
      </c>
      <c r="C267" s="16" t="inlineStr">
        <is>
          <t>Maxi</t>
        </is>
      </c>
      <c r="D267" s="17" t="n">
        <v>45944</v>
      </c>
      <c r="E267" s="16" t="inlineStr">
        <is>
          <t>RMH</t>
        </is>
      </c>
      <c r="F267" s="16" t="inlineStr">
        <is>
          <t>RM 101</t>
        </is>
      </c>
      <c r="G267" s="18" t="n">
        <v>1</v>
      </c>
      <c r="H267" s="16" t="inlineStr">
        <is>
          <t>Burgos German</t>
        </is>
      </c>
      <c r="I267" s="19" t="n"/>
      <c r="J267" s="18">
        <f>IF(TRIM(F267)="","",IF(LEFT(TRIM(F267),2)="RM",IFERROR(IF(D267&gt;=DATE(2026,4,1),INDEX('LP RMH'!$F:$F,MATCH(TRIM(F267),'LP RMH'!$A:$A,0)),INDEX('LP RMH'!$E:$E,MATCH(TRIM(F267),'LP RMH'!$A:$A,0))),0),IFERROR(INDEX('LP MONCAR'!$E:$E,MATCH(TRIM(F267),'LP MONCAR'!$A:$A,0)),0)))</f>
        <v/>
      </c>
      <c r="K267" s="18" t="n">
        <v>17600</v>
      </c>
      <c r="L267" s="16" t="inlineStr">
        <is>
          <t>2025-10</t>
        </is>
      </c>
      <c r="M267" s="16" t="n"/>
      <c r="N267" s="20" t="n"/>
      <c r="O267" s="18" t="n"/>
      <c r="P267" s="16" t="n"/>
      <c r="Q267" s="16" t="n"/>
      <c r="R267" s="16" t="n"/>
      <c r="S267" s="16" t="n"/>
      <c r="T267" s="16" t="n"/>
      <c r="U267" s="16" t="n"/>
    </row>
    <row r="268">
      <c r="A268" s="37" t="n"/>
      <c r="B268" s="16" t="n">
        <v>1708</v>
      </c>
      <c r="C268" s="16" t="inlineStr">
        <is>
          <t>Maxi</t>
        </is>
      </c>
      <c r="D268" s="17" t="n">
        <v>45944</v>
      </c>
      <c r="E268" s="16" t="inlineStr">
        <is>
          <t>RMH</t>
        </is>
      </c>
      <c r="F268" s="16" t="inlineStr">
        <is>
          <t>RM 418</t>
        </is>
      </c>
      <c r="G268" s="18" t="n">
        <v>1</v>
      </c>
      <c r="H268" s="16" t="inlineStr">
        <is>
          <t>Burgos German</t>
        </is>
      </c>
      <c r="I268" s="19" t="n"/>
      <c r="J268" s="18">
        <f>IF(TRIM(F268)="","",IF(LEFT(TRIM(F268),2)="RM",IFERROR(IF(D268&gt;=DATE(2026,4,1),INDEX('LP RMH'!$F:$F,MATCH(TRIM(F268),'LP RMH'!$A:$A,0)),INDEX('LP RMH'!$E:$E,MATCH(TRIM(F268),'LP RMH'!$A:$A,0))),0),IFERROR(INDEX('LP MONCAR'!$E:$E,MATCH(TRIM(F268),'LP MONCAR'!$A:$A,0)),0)))</f>
        <v/>
      </c>
      <c r="K268" s="18" t="n">
        <v>16500</v>
      </c>
      <c r="L268" s="16" t="inlineStr">
        <is>
          <t>2025-10</t>
        </is>
      </c>
      <c r="M268" s="16" t="n"/>
      <c r="N268" s="20" t="n"/>
      <c r="O268" s="18" t="n"/>
      <c r="P268" s="16" t="n"/>
      <c r="Q268" s="16" t="n"/>
      <c r="R268" s="16" t="n"/>
      <c r="S268" s="16" t="n"/>
      <c r="T268" s="16" t="n"/>
      <c r="U268" s="16" t="n"/>
    </row>
    <row r="269">
      <c r="A269" s="37" t="n"/>
      <c r="B269" s="16" t="n">
        <v>1709</v>
      </c>
      <c r="C269" s="16" t="inlineStr">
        <is>
          <t>Maxi</t>
        </is>
      </c>
      <c r="D269" s="17" t="n">
        <v>45944</v>
      </c>
      <c r="E269" s="16" t="inlineStr">
        <is>
          <t>RMH</t>
        </is>
      </c>
      <c r="F269" s="16" t="inlineStr">
        <is>
          <t>RM 023</t>
        </is>
      </c>
      <c r="G269" s="18" t="n">
        <v>10</v>
      </c>
      <c r="H269" s="16" t="inlineStr">
        <is>
          <t>GLACIAR</t>
        </is>
      </c>
      <c r="I269" s="19" t="n"/>
      <c r="J269" s="18">
        <f>IF(TRIM(F269)="","",IF(LEFT(TRIM(F269),2)="RM",IFERROR(IF(D269&gt;=DATE(2026,4,1),INDEX('LP RMH'!$F:$F,MATCH(TRIM(F269),'LP RMH'!$A:$A,0)),INDEX('LP RMH'!$E:$E,MATCH(TRIM(F269),'LP RMH'!$A:$A,0))),0),IFERROR(INDEX('LP MONCAR'!$E:$E,MATCH(TRIM(F269),'LP MONCAR'!$A:$A,0)),0)))</f>
        <v/>
      </c>
      <c r="K269" s="18" t="n">
        <v>36500</v>
      </c>
      <c r="L269" s="16" t="inlineStr">
        <is>
          <t>2025-10</t>
        </is>
      </c>
      <c r="M269" s="16" t="n"/>
      <c r="N269" s="20" t="n"/>
      <c r="O269" s="18" t="n"/>
      <c r="P269" s="16" t="n"/>
      <c r="Q269" s="16" t="n"/>
      <c r="R269" s="16" t="n"/>
      <c r="S269" s="16" t="n"/>
      <c r="T269" s="16" t="n"/>
      <c r="U269" s="16" t="n"/>
    </row>
    <row r="270">
      <c r="A270" s="37" t="n"/>
      <c r="B270" s="16" t="n">
        <v>1711</v>
      </c>
      <c r="C270" s="16" t="inlineStr">
        <is>
          <t>Maxi</t>
        </is>
      </c>
      <c r="D270" s="17" t="n">
        <v>45944</v>
      </c>
      <c r="E270" s="16" t="inlineStr">
        <is>
          <t>RMH</t>
        </is>
      </c>
      <c r="F270" s="16" t="inlineStr">
        <is>
          <t>RM 023</t>
        </is>
      </c>
      <c r="G270" s="18" t="n">
        <v>5</v>
      </c>
      <c r="H270" s="16" t="inlineStr">
        <is>
          <t>EL REFUGIO</t>
        </is>
      </c>
      <c r="I270" s="19" t="n"/>
      <c r="J270" s="18">
        <f>IF(TRIM(F270)="","",IF(LEFT(TRIM(F270),2)="RM",IFERROR(IF(D270&gt;=DATE(2026,4,1),INDEX('LP RMH'!$F:$F,MATCH(TRIM(F270),'LP RMH'!$A:$A,0)),INDEX('LP RMH'!$E:$E,MATCH(TRIM(F270),'LP RMH'!$A:$A,0))),0),IFERROR(INDEX('LP MONCAR'!$E:$E,MATCH(TRIM(F270),'LP MONCAR'!$A:$A,0)),0)))</f>
        <v/>
      </c>
      <c r="K270" s="18" t="n">
        <v>18250</v>
      </c>
      <c r="L270" s="16" t="inlineStr">
        <is>
          <t>2025-10</t>
        </is>
      </c>
      <c r="M270" s="16" t="n"/>
      <c r="N270" s="20" t="n"/>
      <c r="O270" s="18" t="n"/>
      <c r="P270" s="16" t="n"/>
      <c r="Q270" s="16" t="n"/>
      <c r="R270" s="16" t="n"/>
      <c r="S270" s="16" t="n"/>
      <c r="T270" s="16" t="n"/>
      <c r="U270" s="16" t="n"/>
    </row>
    <row r="271">
      <c r="A271" s="37" t="n"/>
      <c r="B271" s="16" t="n">
        <v>1711</v>
      </c>
      <c r="C271" s="16" t="inlineStr">
        <is>
          <t>Maxi</t>
        </is>
      </c>
      <c r="D271" s="17" t="n">
        <v>45944</v>
      </c>
      <c r="E271" s="16" t="inlineStr">
        <is>
          <t>RMH</t>
        </is>
      </c>
      <c r="F271" s="16" t="inlineStr">
        <is>
          <t>RM 035</t>
        </is>
      </c>
      <c r="G271" s="18" t="n">
        <v>4</v>
      </c>
      <c r="H271" s="16" t="inlineStr">
        <is>
          <t>EL REFUGIO</t>
        </is>
      </c>
      <c r="I271" s="19" t="n"/>
      <c r="J271" s="18">
        <f>IF(TRIM(F271)="","",IF(LEFT(TRIM(F271),2)="RM",IFERROR(IF(D271&gt;=DATE(2026,4,1),INDEX('LP RMH'!$F:$F,MATCH(TRIM(F271),'LP RMH'!$A:$A,0)),INDEX('LP RMH'!$E:$E,MATCH(TRIM(F271),'LP RMH'!$A:$A,0))),0),IFERROR(INDEX('LP MONCAR'!$E:$E,MATCH(TRIM(F271),'LP MONCAR'!$A:$A,0)),0)))</f>
        <v/>
      </c>
      <c r="K271" s="18" t="n">
        <v>15400</v>
      </c>
      <c r="L271" s="16" t="inlineStr">
        <is>
          <t>2025-10</t>
        </is>
      </c>
      <c r="M271" s="16" t="n"/>
      <c r="N271" s="20" t="n"/>
      <c r="O271" s="18" t="n"/>
      <c r="P271" s="16" t="n"/>
      <c r="Q271" s="16" t="n"/>
      <c r="R271" s="16" t="n"/>
      <c r="S271" s="16" t="n"/>
      <c r="T271" s="16" t="n"/>
      <c r="U271" s="16" t="n"/>
    </row>
    <row r="272">
      <c r="A272" s="37" t="n"/>
      <c r="B272" s="16" t="n">
        <v>1711</v>
      </c>
      <c r="C272" s="16" t="inlineStr">
        <is>
          <t>Maxi</t>
        </is>
      </c>
      <c r="D272" s="17" t="n">
        <v>45944</v>
      </c>
      <c r="E272" s="16" t="inlineStr">
        <is>
          <t>RMH</t>
        </is>
      </c>
      <c r="F272" s="16" t="inlineStr">
        <is>
          <t>RM 041</t>
        </is>
      </c>
      <c r="G272" s="18" t="n">
        <v>1</v>
      </c>
      <c r="H272" s="16" t="inlineStr">
        <is>
          <t>EL REFUGIO</t>
        </is>
      </c>
      <c r="I272" s="19" t="n"/>
      <c r="J272" s="18">
        <f>IF(TRIM(F272)="","",IF(LEFT(TRIM(F272),2)="RM",IFERROR(IF(D272&gt;=DATE(2026,4,1),INDEX('LP RMH'!$F:$F,MATCH(TRIM(F272),'LP RMH'!$A:$A,0)),INDEX('LP RMH'!$E:$E,MATCH(TRIM(F272),'LP RMH'!$A:$A,0))),0),IFERROR(INDEX('LP MONCAR'!$E:$E,MATCH(TRIM(F272),'LP MONCAR'!$A:$A,0)),0)))</f>
        <v/>
      </c>
      <c r="K272" s="18" t="n">
        <v>3650</v>
      </c>
      <c r="L272" s="16" t="inlineStr">
        <is>
          <t>2025-10</t>
        </is>
      </c>
      <c r="M272" s="16" t="n"/>
      <c r="N272" s="20" t="n"/>
      <c r="O272" s="18" t="n"/>
      <c r="P272" s="16" t="n"/>
      <c r="Q272" s="16" t="n"/>
      <c r="R272" s="16" t="n"/>
      <c r="S272" s="16" t="n"/>
      <c r="T272" s="16" t="n"/>
      <c r="U272" s="16" t="n"/>
    </row>
    <row r="273">
      <c r="A273" s="37" t="n"/>
      <c r="B273" s="16" t="n">
        <v>1704</v>
      </c>
      <c r="C273" s="16" t="inlineStr">
        <is>
          <t>Maxi</t>
        </is>
      </c>
      <c r="D273" s="17" t="n">
        <v>45931</v>
      </c>
      <c r="E273" s="16" t="inlineStr">
        <is>
          <t>RMH</t>
        </is>
      </c>
      <c r="F273" s="16" t="inlineStr">
        <is>
          <t>RM 035</t>
        </is>
      </c>
      <c r="G273" s="18" t="n">
        <v>4</v>
      </c>
      <c r="H273" s="16" t="inlineStr">
        <is>
          <t>SERVISUR</t>
        </is>
      </c>
      <c r="I273" s="19" t="n"/>
      <c r="J273" s="18">
        <f>IF(TRIM(F273)="","",IF(LEFT(TRIM(F273),2)="RM",IFERROR(IF(D273&gt;=DATE(2026,4,1),INDEX('LP RMH'!$F:$F,MATCH(TRIM(F273),'LP RMH'!$A:$A,0)),INDEX('LP RMH'!$E:$E,MATCH(TRIM(F273),'LP RMH'!$A:$A,0))),0),IFERROR(INDEX('LP MONCAR'!$E:$E,MATCH(TRIM(F273),'LP MONCAR'!$A:$A,0)),0)))</f>
        <v/>
      </c>
      <c r="K273" s="18" t="n">
        <v>15400</v>
      </c>
      <c r="L273" s="16" t="inlineStr">
        <is>
          <t>2025-10</t>
        </is>
      </c>
      <c r="M273" s="16" t="n"/>
      <c r="N273" s="20" t="n"/>
      <c r="O273" s="18" t="n"/>
      <c r="P273" s="16" t="n"/>
      <c r="Q273" s="16" t="n"/>
      <c r="R273" s="16" t="n"/>
      <c r="S273" s="16" t="n"/>
      <c r="T273" s="16" t="n"/>
      <c r="U273" s="16" t="n"/>
    </row>
    <row r="274">
      <c r="A274" s="37" t="n"/>
      <c r="B274" s="16" t="n">
        <v>1704</v>
      </c>
      <c r="C274" s="16" t="inlineStr">
        <is>
          <t>Maxi</t>
        </is>
      </c>
      <c r="D274" s="17" t="n">
        <v>45931</v>
      </c>
      <c r="E274" s="16" t="inlineStr">
        <is>
          <t>RMH</t>
        </is>
      </c>
      <c r="F274" s="16" t="inlineStr">
        <is>
          <t>RM 716</t>
        </is>
      </c>
      <c r="G274" s="18" t="n">
        <v>4</v>
      </c>
      <c r="H274" s="16" t="inlineStr">
        <is>
          <t>SERVISUR</t>
        </is>
      </c>
      <c r="I274" s="19" t="n"/>
      <c r="J274" s="18">
        <f>IF(TRIM(F274)="","",IF(LEFT(TRIM(F274),2)="RM",IFERROR(IF(D274&gt;=DATE(2026,4,1),INDEX('LP RMH'!$F:$F,MATCH(TRIM(F274),'LP RMH'!$A:$A,0)),INDEX('LP RMH'!$E:$E,MATCH(TRIM(F274),'LP RMH'!$A:$A,0))),0),IFERROR(INDEX('LP MONCAR'!$E:$E,MATCH(TRIM(F274),'LP MONCAR'!$A:$A,0)),0)))</f>
        <v/>
      </c>
      <c r="K274" s="18" t="n">
        <v>25200</v>
      </c>
      <c r="L274" s="16" t="inlineStr">
        <is>
          <t>2025-10</t>
        </is>
      </c>
      <c r="M274" s="16" t="n"/>
      <c r="N274" s="20" t="n"/>
      <c r="O274" s="18" t="n"/>
      <c r="P274" s="16" t="n"/>
      <c r="Q274" s="16" t="n"/>
      <c r="R274" s="16" t="n"/>
      <c r="S274" s="16" t="n"/>
      <c r="T274" s="16" t="n"/>
      <c r="U274" s="16" t="n"/>
    </row>
    <row r="275">
      <c r="A275" s="37" t="n"/>
      <c r="B275" s="16" t="n">
        <v>1706</v>
      </c>
      <c r="C275" s="16" t="inlineStr">
        <is>
          <t>Maxi</t>
        </is>
      </c>
      <c r="D275" s="17" t="n">
        <v>45931</v>
      </c>
      <c r="E275" s="16" t="inlineStr">
        <is>
          <t>RMH</t>
        </is>
      </c>
      <c r="F275" s="16" t="inlineStr">
        <is>
          <t>RM 026</t>
        </is>
      </c>
      <c r="G275" s="18" t="n">
        <v>6</v>
      </c>
      <c r="H275" s="16" t="inlineStr">
        <is>
          <t>GALLE</t>
        </is>
      </c>
      <c r="I275" s="19" t="n"/>
      <c r="J275" s="18">
        <f>IF(TRIM(F275)="","",IF(LEFT(TRIM(F275),2)="RM",IFERROR(IF(D275&gt;=DATE(2026,4,1),INDEX('LP RMH'!$F:$F,MATCH(TRIM(F275),'LP RMH'!$A:$A,0)),INDEX('LP RMH'!$E:$E,MATCH(TRIM(F275),'LP RMH'!$A:$A,0))),0),IFERROR(INDEX('LP MONCAR'!$E:$E,MATCH(TRIM(F275),'LP MONCAR'!$A:$A,0)),0)))</f>
        <v/>
      </c>
      <c r="K275" s="18" t="n">
        <v>21900</v>
      </c>
      <c r="L275" s="16" t="inlineStr">
        <is>
          <t>2025-10</t>
        </is>
      </c>
      <c r="M275" s="16" t="n"/>
      <c r="N275" s="20" t="n"/>
      <c r="O275" s="18" t="n"/>
      <c r="P275" s="16" t="n"/>
      <c r="Q275" s="16" t="n"/>
      <c r="R275" s="16" t="inlineStr">
        <is>
          <t>La Plata</t>
        </is>
      </c>
      <c r="S275" s="16" t="inlineStr">
        <is>
          <t>La Plata</t>
        </is>
      </c>
      <c r="T275" s="16" t="inlineStr">
        <is>
          <t>Buenos Aires</t>
        </is>
      </c>
      <c r="U275" s="16" t="n"/>
    </row>
    <row r="276">
      <c r="A276" s="37" t="n"/>
      <c r="B276" s="16" t="n">
        <v>1706</v>
      </c>
      <c r="C276" s="16" t="inlineStr">
        <is>
          <t>Maxi</t>
        </is>
      </c>
      <c r="D276" s="17" t="n">
        <v>45931</v>
      </c>
      <c r="E276" s="16" t="inlineStr">
        <is>
          <t>RMH</t>
        </is>
      </c>
      <c r="F276" s="16" t="inlineStr">
        <is>
          <t>RM 032</t>
        </is>
      </c>
      <c r="G276" s="18" t="n">
        <v>4</v>
      </c>
      <c r="H276" s="16" t="inlineStr">
        <is>
          <t>GALLE</t>
        </is>
      </c>
      <c r="I276" s="19" t="n"/>
      <c r="J276" s="18">
        <f>IF(TRIM(F276)="","",IF(LEFT(TRIM(F276),2)="RM",IFERROR(IF(D276&gt;=DATE(2026,4,1),INDEX('LP RMH'!$F:$F,MATCH(TRIM(F276),'LP RMH'!$A:$A,0)),INDEX('LP RMH'!$E:$E,MATCH(TRIM(F276),'LP RMH'!$A:$A,0))),0),IFERROR(INDEX('LP MONCAR'!$E:$E,MATCH(TRIM(F276),'LP MONCAR'!$A:$A,0)),0)))</f>
        <v/>
      </c>
      <c r="K276" s="18" t="n">
        <v>44000</v>
      </c>
      <c r="L276" s="16" t="inlineStr">
        <is>
          <t>2025-10</t>
        </is>
      </c>
      <c r="M276" s="16" t="n"/>
      <c r="N276" s="20" t="n"/>
      <c r="O276" s="18" t="n"/>
      <c r="P276" s="16" t="n"/>
      <c r="Q276" s="16" t="n"/>
      <c r="R276" s="16" t="inlineStr">
        <is>
          <t>La Plata</t>
        </is>
      </c>
      <c r="S276" s="16" t="inlineStr">
        <is>
          <t>La Plata</t>
        </is>
      </c>
      <c r="T276" s="16" t="inlineStr">
        <is>
          <t>Buenos Aires</t>
        </is>
      </c>
      <c r="U276" s="16" t="n"/>
    </row>
    <row r="277">
      <c r="A277" s="37" t="n"/>
      <c r="B277" s="16" t="n">
        <v>1706</v>
      </c>
      <c r="C277" s="16" t="inlineStr">
        <is>
          <t>Maxi</t>
        </is>
      </c>
      <c r="D277" s="17" t="n">
        <v>45931</v>
      </c>
      <c r="E277" s="16" t="inlineStr">
        <is>
          <t>RMH</t>
        </is>
      </c>
      <c r="F277" s="16" t="inlineStr">
        <is>
          <t>RM 102</t>
        </is>
      </c>
      <c r="G277" s="18" t="n">
        <v>5</v>
      </c>
      <c r="H277" s="16" t="inlineStr">
        <is>
          <t>GALLE</t>
        </is>
      </c>
      <c r="I277" s="19" t="n"/>
      <c r="J277" s="18">
        <f>IF(TRIM(F277)="","",IF(LEFT(TRIM(F277),2)="RM",IFERROR(IF(D277&gt;=DATE(2026,4,1),INDEX('LP RMH'!$F:$F,MATCH(TRIM(F277),'LP RMH'!$A:$A,0)),INDEX('LP RMH'!$E:$E,MATCH(TRIM(F277),'LP RMH'!$A:$A,0))),0),IFERROR(INDEX('LP MONCAR'!$E:$E,MATCH(TRIM(F277),'LP MONCAR'!$A:$A,0)),0)))</f>
        <v/>
      </c>
      <c r="K277" s="18" t="n">
        <v>88000</v>
      </c>
      <c r="L277" s="16" t="inlineStr">
        <is>
          <t>2025-10</t>
        </is>
      </c>
      <c r="M277" s="16" t="n"/>
      <c r="N277" s="20" t="n"/>
      <c r="O277" s="18" t="n"/>
      <c r="P277" s="16" t="n"/>
      <c r="Q277" s="16" t="n"/>
      <c r="R277" s="16" t="inlineStr">
        <is>
          <t>La Plata</t>
        </is>
      </c>
      <c r="S277" s="16" t="inlineStr">
        <is>
          <t>La Plata</t>
        </is>
      </c>
      <c r="T277" s="16" t="inlineStr">
        <is>
          <t>Buenos Aires</t>
        </is>
      </c>
      <c r="U277" s="16" t="n"/>
    </row>
    <row r="278">
      <c r="A278" s="37" t="n"/>
      <c r="B278" s="16" t="n">
        <v>1706</v>
      </c>
      <c r="C278" s="16" t="inlineStr">
        <is>
          <t>Maxi</t>
        </is>
      </c>
      <c r="D278" s="17" t="n">
        <v>45931</v>
      </c>
      <c r="E278" s="16" t="inlineStr">
        <is>
          <t>RMH</t>
        </is>
      </c>
      <c r="F278" s="16" t="inlineStr">
        <is>
          <t>RM 716</t>
        </is>
      </c>
      <c r="G278" s="18" t="n">
        <v>6</v>
      </c>
      <c r="H278" s="16" t="inlineStr">
        <is>
          <t>GALLE</t>
        </is>
      </c>
      <c r="I278" s="19" t="n"/>
      <c r="J278" s="18">
        <f>IF(TRIM(F278)="","",IF(LEFT(TRIM(F278),2)="RM",IFERROR(IF(D278&gt;=DATE(2026,4,1),INDEX('LP RMH'!$F:$F,MATCH(TRIM(F278),'LP RMH'!$A:$A,0)),INDEX('LP RMH'!$E:$E,MATCH(TRIM(F278),'LP RMH'!$A:$A,0))),0),IFERROR(INDEX('LP MONCAR'!$E:$E,MATCH(TRIM(F278),'LP MONCAR'!$A:$A,0)),0)))</f>
        <v/>
      </c>
      <c r="K278" s="18" t="n">
        <v>37800</v>
      </c>
      <c r="L278" s="16" t="inlineStr">
        <is>
          <t>2025-10</t>
        </is>
      </c>
      <c r="M278" s="16" t="n"/>
      <c r="N278" s="20" t="n"/>
      <c r="O278" s="18" t="n"/>
      <c r="P278" s="16" t="n"/>
      <c r="Q278" s="16" t="n"/>
      <c r="R278" s="16" t="inlineStr">
        <is>
          <t>La Plata</t>
        </is>
      </c>
      <c r="S278" s="16" t="inlineStr">
        <is>
          <t>La Plata</t>
        </is>
      </c>
      <c r="T278" s="16" t="inlineStr">
        <is>
          <t>Buenos Aires</t>
        </is>
      </c>
      <c r="U278" s="16" t="n"/>
    </row>
    <row r="279">
      <c r="A279" s="37" t="n"/>
      <c r="B279" s="16" t="n">
        <v>1732</v>
      </c>
      <c r="C279" s="16" t="inlineStr">
        <is>
          <t>Maxi</t>
        </is>
      </c>
      <c r="D279" s="17" t="n">
        <v>45975</v>
      </c>
      <c r="E279" s="16" t="inlineStr">
        <is>
          <t>RMH</t>
        </is>
      </c>
      <c r="F279" s="16" t="inlineStr">
        <is>
          <t>RM 023</t>
        </is>
      </c>
      <c r="G279" s="18" t="n">
        <v>10</v>
      </c>
      <c r="H279" s="16" t="inlineStr">
        <is>
          <t>LA ROTONDA</t>
        </is>
      </c>
      <c r="I279" s="19" t="n"/>
      <c r="J279" s="18">
        <f>IF(TRIM(F279)="","",IF(LEFT(TRIM(F279),2)="RM",IFERROR(IF(D279&gt;=DATE(2026,4,1),INDEX('LP RMH'!$F:$F,MATCH(TRIM(F279),'LP RMH'!$A:$A,0)),INDEX('LP RMH'!$E:$E,MATCH(TRIM(F279),'LP RMH'!$A:$A,0))),0),IFERROR(INDEX('LP MONCAR'!$E:$E,MATCH(TRIM(F279),'LP MONCAR'!$A:$A,0)),0)))</f>
        <v/>
      </c>
      <c r="K279" s="18" t="n">
        <v>36500</v>
      </c>
      <c r="L279" s="16" t="inlineStr">
        <is>
          <t>2025-11</t>
        </is>
      </c>
      <c r="M279" s="16" t="n"/>
      <c r="N279" s="20" t="n"/>
      <c r="O279" s="18" t="n"/>
      <c r="P279" s="16" t="n"/>
      <c r="Q279" s="16" t="n"/>
      <c r="R279" s="16" t="n"/>
      <c r="S279" s="16" t="n"/>
      <c r="T279" s="16" t="n"/>
      <c r="U279" s="16" t="n"/>
    </row>
    <row r="280">
      <c r="A280" s="37" t="n"/>
      <c r="B280" s="16" t="n">
        <v>1732</v>
      </c>
      <c r="C280" s="16" t="inlineStr">
        <is>
          <t>Maxi</t>
        </is>
      </c>
      <c r="D280" s="17" t="n">
        <v>45975</v>
      </c>
      <c r="E280" s="16" t="inlineStr">
        <is>
          <t>RMH</t>
        </is>
      </c>
      <c r="F280" s="16" t="inlineStr">
        <is>
          <t>RM 035</t>
        </is>
      </c>
      <c r="G280" s="18" t="n">
        <v>6</v>
      </c>
      <c r="H280" s="16" t="inlineStr">
        <is>
          <t>LA ROTONDA</t>
        </is>
      </c>
      <c r="I280" s="19" t="n"/>
      <c r="J280" s="18">
        <f>IF(TRIM(F280)="","",IF(LEFT(TRIM(F280),2)="RM",IFERROR(IF(D280&gt;=DATE(2026,4,1),INDEX('LP RMH'!$F:$F,MATCH(TRIM(F280),'LP RMH'!$A:$A,0)),INDEX('LP RMH'!$E:$E,MATCH(TRIM(F280),'LP RMH'!$A:$A,0))),0),IFERROR(INDEX('LP MONCAR'!$E:$E,MATCH(TRIM(F280),'LP MONCAR'!$A:$A,0)),0)))</f>
        <v/>
      </c>
      <c r="K280" s="18" t="n">
        <v>23100</v>
      </c>
      <c r="L280" s="16" t="inlineStr">
        <is>
          <t>2025-11</t>
        </is>
      </c>
      <c r="M280" s="16" t="n"/>
      <c r="N280" s="20" t="n"/>
      <c r="O280" s="18" t="n"/>
      <c r="P280" s="16" t="n"/>
      <c r="Q280" s="16" t="n"/>
      <c r="R280" s="16" t="n"/>
      <c r="S280" s="16" t="n"/>
      <c r="T280" s="16" t="n"/>
      <c r="U280" s="16" t="n"/>
    </row>
    <row r="281">
      <c r="A281" s="37" t="n"/>
      <c r="B281" s="16" t="n">
        <v>1735</v>
      </c>
      <c r="C281" s="16" t="inlineStr">
        <is>
          <t>Maxi</t>
        </is>
      </c>
      <c r="D281" s="17" t="n">
        <v>45988</v>
      </c>
      <c r="E281" s="16" t="inlineStr">
        <is>
          <t>RMH</t>
        </is>
      </c>
      <c r="F281" s="16" t="inlineStr">
        <is>
          <t>RM 023</t>
        </is>
      </c>
      <c r="G281" s="18" t="n">
        <v>3</v>
      </c>
      <c r="H281" s="16" t="inlineStr">
        <is>
          <t>PACIFICO 4</t>
        </is>
      </c>
      <c r="I281" s="19" t="n"/>
      <c r="J281" s="18">
        <f>IF(TRIM(F281)="","",IF(LEFT(TRIM(F281),2)="RM",IFERROR(IF(D281&gt;=DATE(2026,4,1),INDEX('LP RMH'!$F:$F,MATCH(TRIM(F281),'LP RMH'!$A:$A,0)),INDEX('LP RMH'!$E:$E,MATCH(TRIM(F281),'LP RMH'!$A:$A,0))),0),IFERROR(INDEX('LP MONCAR'!$E:$E,MATCH(TRIM(F281),'LP MONCAR'!$A:$A,0)),0)))</f>
        <v/>
      </c>
      <c r="K281" s="18" t="n">
        <v>10950</v>
      </c>
      <c r="L281" s="16" t="inlineStr">
        <is>
          <t>2025-11</t>
        </is>
      </c>
      <c r="M281" s="16" t="n"/>
      <c r="N281" s="20" t="n"/>
      <c r="O281" s="18" t="n"/>
      <c r="P281" s="16" t="n"/>
      <c r="Q281" s="16" t="n"/>
      <c r="R281" s="16" t="n"/>
      <c r="S281" s="16" t="n"/>
      <c r="T281" s="16" t="n"/>
      <c r="U281" s="16" t="n"/>
    </row>
    <row r="282">
      <c r="A282" s="37" t="n"/>
      <c r="B282" s="16" t="n">
        <v>1735</v>
      </c>
      <c r="C282" s="16" t="inlineStr">
        <is>
          <t>Maxi</t>
        </is>
      </c>
      <c r="D282" s="17" t="n">
        <v>45988</v>
      </c>
      <c r="E282" s="16" t="inlineStr">
        <is>
          <t>RMH</t>
        </is>
      </c>
      <c r="F282" s="16" t="inlineStr">
        <is>
          <t>RM 035</t>
        </is>
      </c>
      <c r="G282" s="18" t="n">
        <v>3</v>
      </c>
      <c r="H282" s="16" t="inlineStr">
        <is>
          <t>PACIFICO 4</t>
        </is>
      </c>
      <c r="I282" s="19" t="n"/>
      <c r="J282" s="18">
        <f>IF(TRIM(F282)="","",IF(LEFT(TRIM(F282),2)="RM",IFERROR(IF(D282&gt;=DATE(2026,4,1),INDEX('LP RMH'!$F:$F,MATCH(TRIM(F282),'LP RMH'!$A:$A,0)),INDEX('LP RMH'!$E:$E,MATCH(TRIM(F282),'LP RMH'!$A:$A,0))),0),IFERROR(INDEX('LP MONCAR'!$E:$E,MATCH(TRIM(F282),'LP MONCAR'!$A:$A,0)),0)))</f>
        <v/>
      </c>
      <c r="K282" s="18" t="n">
        <v>11550</v>
      </c>
      <c r="L282" s="16" t="inlineStr">
        <is>
          <t>2025-11</t>
        </is>
      </c>
      <c r="M282" s="16" t="n"/>
      <c r="N282" s="20" t="n"/>
      <c r="O282" s="18" t="n"/>
      <c r="P282" s="16" t="n"/>
      <c r="Q282" s="16" t="n"/>
      <c r="R282" s="16" t="n"/>
      <c r="S282" s="16" t="n"/>
      <c r="T282" s="16" t="n"/>
      <c r="U282" s="16" t="n"/>
    </row>
    <row r="283">
      <c r="A283" s="37" t="n"/>
      <c r="B283" s="16" t="n">
        <v>1735</v>
      </c>
      <c r="C283" s="16" t="inlineStr">
        <is>
          <t>Maxi</t>
        </is>
      </c>
      <c r="D283" s="17" t="n">
        <v>45988</v>
      </c>
      <c r="E283" s="16" t="inlineStr">
        <is>
          <t>RMH</t>
        </is>
      </c>
      <c r="F283" s="16" t="inlineStr">
        <is>
          <t>RM 036</t>
        </is>
      </c>
      <c r="G283" s="18" t="n">
        <v>3</v>
      </c>
      <c r="H283" s="16" t="inlineStr">
        <is>
          <t>PACIFICO 4</t>
        </is>
      </c>
      <c r="I283" s="19" t="n"/>
      <c r="J283" s="18">
        <f>IF(TRIM(F283)="","",IF(LEFT(TRIM(F283),2)="RM",IFERROR(IF(D283&gt;=DATE(2026,4,1),INDEX('LP RMH'!$F:$F,MATCH(TRIM(F283),'LP RMH'!$A:$A,0)),INDEX('LP RMH'!$E:$E,MATCH(TRIM(F283),'LP RMH'!$A:$A,0))),0),IFERROR(INDEX('LP MONCAR'!$E:$E,MATCH(TRIM(F283),'LP MONCAR'!$A:$A,0)),0)))</f>
        <v/>
      </c>
      <c r="K283" s="18" t="n">
        <v>22200</v>
      </c>
      <c r="L283" s="16" t="inlineStr">
        <is>
          <t>2025-11</t>
        </is>
      </c>
      <c r="M283" s="16" t="n"/>
      <c r="N283" s="20" t="n"/>
      <c r="O283" s="18" t="n"/>
      <c r="P283" s="16" t="n"/>
      <c r="Q283" s="16" t="n"/>
      <c r="R283" s="16" t="n"/>
      <c r="S283" s="16" t="n"/>
      <c r="T283" s="16" t="n"/>
      <c r="U283" s="16" t="n"/>
    </row>
    <row r="284">
      <c r="A284" s="37" t="n"/>
      <c r="B284" s="16" t="n">
        <v>1737</v>
      </c>
      <c r="C284" s="16" t="inlineStr">
        <is>
          <t>Maxi</t>
        </is>
      </c>
      <c r="D284" s="17" t="n">
        <v>45988</v>
      </c>
      <c r="E284" s="16" t="inlineStr">
        <is>
          <t>RMH</t>
        </is>
      </c>
      <c r="F284" s="16" t="inlineStr">
        <is>
          <t>RM 102</t>
        </is>
      </c>
      <c r="G284" s="18" t="n">
        <v>2</v>
      </c>
      <c r="H284" s="16" t="inlineStr">
        <is>
          <t>PACIFICO 3</t>
        </is>
      </c>
      <c r="I284" s="19" t="n"/>
      <c r="J284" s="18">
        <f>IF(TRIM(F284)="","",IF(LEFT(TRIM(F284),2)="RM",IFERROR(IF(D284&gt;=DATE(2026,4,1),INDEX('LP RMH'!$F:$F,MATCH(TRIM(F284),'LP RMH'!$A:$A,0)),INDEX('LP RMH'!$E:$E,MATCH(TRIM(F284),'LP RMH'!$A:$A,0))),0),IFERROR(INDEX('LP MONCAR'!$E:$E,MATCH(TRIM(F284),'LP MONCAR'!$A:$A,0)),0)))</f>
        <v/>
      </c>
      <c r="K284" s="18" t="n">
        <v>35200</v>
      </c>
      <c r="L284" s="16" t="inlineStr">
        <is>
          <t>2025-11</t>
        </is>
      </c>
      <c r="M284" s="16" t="n"/>
      <c r="N284" s="20" t="n"/>
      <c r="O284" s="18" t="n"/>
      <c r="P284" s="16" t="n"/>
      <c r="Q284" s="16" t="n"/>
      <c r="R284" s="16" t="n"/>
      <c r="S284" s="16" t="n"/>
      <c r="T284" s="16" t="n"/>
      <c r="U284" s="16" t="n"/>
    </row>
    <row r="285">
      <c r="A285" s="37" t="n"/>
      <c r="B285" s="16" t="n">
        <v>1737</v>
      </c>
      <c r="C285" s="16" t="inlineStr">
        <is>
          <t>Maxi</t>
        </is>
      </c>
      <c r="D285" s="17" t="n">
        <v>45988</v>
      </c>
      <c r="E285" s="16" t="inlineStr">
        <is>
          <t>RMH</t>
        </is>
      </c>
      <c r="F285" s="16" t="inlineStr">
        <is>
          <t>RM 416</t>
        </is>
      </c>
      <c r="G285" s="18" t="n">
        <v>4</v>
      </c>
      <c r="H285" s="16" t="inlineStr">
        <is>
          <t>PACIFICO 3</t>
        </is>
      </c>
      <c r="I285" s="19" t="n"/>
      <c r="J285" s="18">
        <f>IF(TRIM(F285)="","",IF(LEFT(TRIM(F285),2)="RM",IFERROR(IF(D285&gt;=DATE(2026,4,1),INDEX('LP RMH'!$F:$F,MATCH(TRIM(F285),'LP RMH'!$A:$A,0)),INDEX('LP RMH'!$E:$E,MATCH(TRIM(F285),'LP RMH'!$A:$A,0))),0),IFERROR(INDEX('LP MONCAR'!$E:$E,MATCH(TRIM(F285),'LP MONCAR'!$A:$A,0)),0)))</f>
        <v/>
      </c>
      <c r="K285" s="18" t="n">
        <v>66800</v>
      </c>
      <c r="L285" s="16" t="inlineStr">
        <is>
          <t>2025-11</t>
        </is>
      </c>
      <c r="M285" s="16" t="n"/>
      <c r="N285" s="20" t="n"/>
      <c r="O285" s="18" t="n"/>
      <c r="P285" s="16" t="n"/>
      <c r="Q285" s="16" t="n"/>
      <c r="R285" s="16" t="n"/>
      <c r="S285" s="16" t="n"/>
      <c r="T285" s="16" t="n"/>
      <c r="U285" s="16" t="n"/>
    </row>
    <row r="286">
      <c r="A286" s="37" t="n"/>
      <c r="B286" s="16" t="n">
        <v>1738</v>
      </c>
      <c r="C286" s="16" t="inlineStr">
        <is>
          <t>Maxi</t>
        </is>
      </c>
      <c r="D286" s="17" t="n">
        <v>45988</v>
      </c>
      <c r="E286" s="16" t="inlineStr">
        <is>
          <t>RMH</t>
        </is>
      </c>
      <c r="F286" s="16" t="inlineStr">
        <is>
          <t>RM 101</t>
        </is>
      </c>
      <c r="G286" s="18" t="n">
        <v>2</v>
      </c>
      <c r="H286" s="16" t="inlineStr">
        <is>
          <t>PACIFICO 2</t>
        </is>
      </c>
      <c r="I286" s="19" t="n"/>
      <c r="J286" s="18">
        <f>IF(TRIM(F286)="","",IF(LEFT(TRIM(F286),2)="RM",IFERROR(IF(D286&gt;=DATE(2026,4,1),INDEX('LP RMH'!$F:$F,MATCH(TRIM(F286),'LP RMH'!$A:$A,0)),INDEX('LP RMH'!$E:$E,MATCH(TRIM(F286),'LP RMH'!$A:$A,0))),0),IFERROR(INDEX('LP MONCAR'!$E:$E,MATCH(TRIM(F286),'LP MONCAR'!$A:$A,0)),0)))</f>
        <v/>
      </c>
      <c r="K286" s="18" t="n">
        <v>35200</v>
      </c>
      <c r="L286" s="16" t="inlineStr">
        <is>
          <t>2025-11</t>
        </is>
      </c>
      <c r="M286" s="16" t="n"/>
      <c r="N286" s="20" t="n"/>
      <c r="O286" s="18" t="n"/>
      <c r="P286" s="16" t="n"/>
      <c r="Q286" s="16" t="n"/>
      <c r="R286" s="16" t="n"/>
      <c r="S286" s="16" t="n"/>
      <c r="T286" s="16" t="n"/>
      <c r="U286" s="16" t="n"/>
    </row>
    <row r="287">
      <c r="A287" s="37" t="n"/>
      <c r="B287" s="16" t="n">
        <v>1740</v>
      </c>
      <c r="C287" s="16" t="inlineStr">
        <is>
          <t>Maxi</t>
        </is>
      </c>
      <c r="D287" s="17" t="n">
        <v>45988</v>
      </c>
      <c r="E287" s="16" t="inlineStr">
        <is>
          <t>RMH</t>
        </is>
      </c>
      <c r="F287" s="16" t="inlineStr">
        <is>
          <t>RM 035</t>
        </is>
      </c>
      <c r="G287" s="18" t="n">
        <v>25</v>
      </c>
      <c r="H287" s="16" t="inlineStr">
        <is>
          <t>LA GLORIA DE DIOS</t>
        </is>
      </c>
      <c r="I287" s="19" t="n"/>
      <c r="J287" s="18">
        <f>IF(TRIM(F287)="","",IF(LEFT(TRIM(F287),2)="RM",IFERROR(IF(D287&gt;=DATE(2026,4,1),INDEX('LP RMH'!$F:$F,MATCH(TRIM(F287),'LP RMH'!$A:$A,0)),INDEX('LP RMH'!$E:$E,MATCH(TRIM(F287),'LP RMH'!$A:$A,0))),0),IFERROR(INDEX('LP MONCAR'!$E:$E,MATCH(TRIM(F287),'LP MONCAR'!$A:$A,0)),0)))</f>
        <v/>
      </c>
      <c r="K287" s="18" t="n">
        <v>96250</v>
      </c>
      <c r="L287" s="16" t="inlineStr">
        <is>
          <t>2025-11</t>
        </is>
      </c>
      <c r="M287" s="16" t="n"/>
      <c r="N287" s="20" t="n"/>
      <c r="O287" s="18" t="n"/>
      <c r="P287" s="16" t="n"/>
      <c r="Q287" s="16" t="n"/>
      <c r="R287" s="16" t="n"/>
      <c r="S287" s="16" t="n"/>
      <c r="T287" s="16" t="n"/>
      <c r="U287" s="16" t="n"/>
    </row>
    <row r="288">
      <c r="A288" s="37" t="n"/>
      <c r="B288" s="16" t="n">
        <v>1740</v>
      </c>
      <c r="C288" s="16" t="inlineStr">
        <is>
          <t>Maxi</t>
        </is>
      </c>
      <c r="D288" s="17" t="n">
        <v>45988</v>
      </c>
      <c r="E288" s="16" t="inlineStr">
        <is>
          <t>RMH</t>
        </is>
      </c>
      <c r="F288" s="16" t="inlineStr">
        <is>
          <t>RM 102</t>
        </is>
      </c>
      <c r="G288" s="18" t="n">
        <v>2</v>
      </c>
      <c r="H288" s="16" t="inlineStr">
        <is>
          <t>LA GLORIA DE DIOS</t>
        </is>
      </c>
      <c r="I288" s="19" t="n"/>
      <c r="J288" s="18">
        <f>IF(TRIM(F288)="","",IF(LEFT(TRIM(F288),2)="RM",IFERROR(IF(D288&gt;=DATE(2026,4,1),INDEX('LP RMH'!$F:$F,MATCH(TRIM(F288),'LP RMH'!$A:$A,0)),INDEX('LP RMH'!$E:$E,MATCH(TRIM(F288),'LP RMH'!$A:$A,0))),0),IFERROR(INDEX('LP MONCAR'!$E:$E,MATCH(TRIM(F288),'LP MONCAR'!$A:$A,0)),0)))</f>
        <v/>
      </c>
      <c r="K288" s="18" t="n">
        <v>35200</v>
      </c>
      <c r="L288" s="16" t="inlineStr">
        <is>
          <t>2025-11</t>
        </is>
      </c>
      <c r="M288" s="16" t="n"/>
      <c r="N288" s="20" t="n"/>
      <c r="O288" s="18" t="n"/>
      <c r="P288" s="16" t="n"/>
      <c r="Q288" s="16" t="n"/>
      <c r="R288" s="16" t="n"/>
      <c r="S288" s="16" t="n"/>
      <c r="T288" s="16" t="n"/>
      <c r="U288" s="16" t="n"/>
    </row>
    <row r="289">
      <c r="A289" s="37" t="n"/>
      <c r="B289" s="16" t="n">
        <v>1740</v>
      </c>
      <c r="C289" s="16" t="inlineStr">
        <is>
          <t>Maxi</t>
        </is>
      </c>
      <c r="D289" s="17" t="n">
        <v>45988</v>
      </c>
      <c r="E289" s="16" t="inlineStr">
        <is>
          <t>RMH</t>
        </is>
      </c>
      <c r="F289" s="16" t="inlineStr">
        <is>
          <t>RM 416</t>
        </is>
      </c>
      <c r="G289" s="18" t="n">
        <v>2</v>
      </c>
      <c r="H289" s="16" t="inlineStr">
        <is>
          <t>LA GLORIA DE DIOS</t>
        </is>
      </c>
      <c r="I289" s="19" t="n"/>
      <c r="J289" s="18">
        <f>IF(TRIM(F289)="","",IF(LEFT(TRIM(F289),2)="RM",IFERROR(IF(D289&gt;=DATE(2026,4,1),INDEX('LP RMH'!$F:$F,MATCH(TRIM(F289),'LP RMH'!$A:$A,0)),INDEX('LP RMH'!$E:$E,MATCH(TRIM(F289),'LP RMH'!$A:$A,0))),0),IFERROR(INDEX('LP MONCAR'!$E:$E,MATCH(TRIM(F289),'LP MONCAR'!$A:$A,0)),0)))</f>
        <v/>
      </c>
      <c r="K289" s="18" t="n">
        <v>33400</v>
      </c>
      <c r="L289" s="16" t="inlineStr">
        <is>
          <t>2025-11</t>
        </is>
      </c>
      <c r="M289" s="16" t="n"/>
      <c r="N289" s="20" t="n"/>
      <c r="O289" s="18" t="n"/>
      <c r="P289" s="16" t="n"/>
      <c r="Q289" s="16" t="n"/>
      <c r="R289" s="16" t="n"/>
      <c r="S289" s="16" t="n"/>
      <c r="T289" s="16" t="n"/>
      <c r="U289" s="16" t="n"/>
    </row>
    <row r="290">
      <c r="A290" s="37" t="n"/>
      <c r="B290" s="16" t="n">
        <v>1740</v>
      </c>
      <c r="C290" s="16" t="inlineStr">
        <is>
          <t>Maxi</t>
        </is>
      </c>
      <c r="D290" s="17" t="n">
        <v>45988</v>
      </c>
      <c r="E290" s="16" t="inlineStr">
        <is>
          <t>RMH</t>
        </is>
      </c>
      <c r="F290" s="16" t="inlineStr">
        <is>
          <t>RM 714</t>
        </is>
      </c>
      <c r="G290" s="16" t="n">
        <v>2</v>
      </c>
      <c r="H290" s="16" t="inlineStr">
        <is>
          <t>LA GLORIA DE DIOS</t>
        </is>
      </c>
      <c r="I290" s="19" t="n"/>
      <c r="J290" s="18">
        <f>IF(TRIM(F290)="","",IF(LEFT(TRIM(F290),2)="RM",IFERROR(IF(D290&gt;=DATE(2026,4,1),INDEX('LP RMH'!$F:$F,MATCH(TRIM(F290),'LP RMH'!$A:$A,0)),INDEX('LP RMH'!$E:$E,MATCH(TRIM(F290),'LP RMH'!$A:$A,0))),0),IFERROR(INDEX('LP MONCAR'!$E:$E,MATCH(TRIM(F290),'LP MONCAR'!$A:$A,0)),0)))</f>
        <v/>
      </c>
      <c r="K290" s="18" t="n">
        <v>33400</v>
      </c>
      <c r="L290" s="16" t="inlineStr">
        <is>
          <t>2025-11</t>
        </is>
      </c>
      <c r="M290" s="16" t="n"/>
      <c r="N290" s="20" t="n"/>
      <c r="O290" s="18" t="n"/>
      <c r="P290" s="16" t="n"/>
      <c r="Q290" s="16" t="n"/>
      <c r="R290" s="16" t="n"/>
      <c r="S290" s="16" t="n"/>
      <c r="T290" s="16" t="n"/>
      <c r="U290" s="16" t="n"/>
    </row>
    <row r="291">
      <c r="A291" s="37" t="n"/>
      <c r="B291" s="16" t="n">
        <v>1729</v>
      </c>
      <c r="C291" s="16" t="inlineStr">
        <is>
          <t>Maxi</t>
        </is>
      </c>
      <c r="D291" s="17" t="n">
        <v>45967</v>
      </c>
      <c r="E291" s="16" t="inlineStr">
        <is>
          <t>RMH</t>
        </is>
      </c>
      <c r="F291" s="16" t="inlineStr">
        <is>
          <t>RM 022</t>
        </is>
      </c>
      <c r="G291" s="16" t="n">
        <v>6</v>
      </c>
      <c r="H291" s="16" t="inlineStr">
        <is>
          <t>MAQTOOLS</t>
        </is>
      </c>
      <c r="I291" s="19" t="n"/>
      <c r="J291" s="18">
        <f>IF(TRIM(F291)="","",IF(LEFT(TRIM(F291),2)="RM",IFERROR(IF(D291&gt;=DATE(2026,4,1),INDEX('LP RMH'!$F:$F,MATCH(TRIM(F291),'LP RMH'!$A:$A,0)),INDEX('LP RMH'!$E:$E,MATCH(TRIM(F291),'LP RMH'!$A:$A,0))),0),IFERROR(INDEX('LP MONCAR'!$E:$E,MATCH(TRIM(F291),'LP MONCAR'!$A:$A,0)),0)))</f>
        <v/>
      </c>
      <c r="K291" s="18" t="n">
        <v>24000</v>
      </c>
      <c r="L291" s="16" t="inlineStr">
        <is>
          <t>2025-11</t>
        </is>
      </c>
      <c r="M291" s="16" t="n"/>
      <c r="N291" s="20" t="n"/>
      <c r="O291" s="18" t="n"/>
      <c r="P291" s="16" t="n"/>
      <c r="Q291" s="16" t="n"/>
      <c r="R291" s="16" t="inlineStr">
        <is>
          <t>caba</t>
        </is>
      </c>
      <c r="S291" s="16" t="inlineStr">
        <is>
          <t>VILLA urquiza</t>
        </is>
      </c>
      <c r="T291" s="16" t="n"/>
      <c r="U291" s="16" t="n"/>
    </row>
    <row r="292">
      <c r="A292" s="37" t="n"/>
      <c r="B292" s="16" t="n">
        <v>1730</v>
      </c>
      <c r="C292" s="16" t="inlineStr">
        <is>
          <t>Maxi</t>
        </is>
      </c>
      <c r="D292" s="17" t="n">
        <v>45975</v>
      </c>
      <c r="E292" s="16" t="inlineStr">
        <is>
          <t>RMH</t>
        </is>
      </c>
      <c r="F292" s="16" t="inlineStr">
        <is>
          <t>RM 416</t>
        </is>
      </c>
      <c r="G292" s="16" t="n">
        <v>5</v>
      </c>
      <c r="H292" s="16" t="inlineStr">
        <is>
          <t>GLACIAR</t>
        </is>
      </c>
      <c r="I292" s="19" t="n"/>
      <c r="J292" s="18">
        <f>IF(TRIM(F292)="","",IF(LEFT(TRIM(F292),2)="RM",IFERROR(IF(D292&gt;=DATE(2026,4,1),INDEX('LP RMH'!$F:$F,MATCH(TRIM(F292),'LP RMH'!$A:$A,0)),INDEX('LP RMH'!$E:$E,MATCH(TRIM(F292),'LP RMH'!$A:$A,0))),0),IFERROR(INDEX('LP MONCAR'!$E:$E,MATCH(TRIM(F292),'LP MONCAR'!$A:$A,0)),0)))</f>
        <v/>
      </c>
      <c r="K292" s="18" t="n">
        <v>83500</v>
      </c>
      <c r="L292" s="16" t="inlineStr">
        <is>
          <t>2025-11</t>
        </is>
      </c>
      <c r="M292" s="16" t="n"/>
      <c r="N292" s="20" t="n"/>
      <c r="O292" s="18" t="n"/>
      <c r="P292" s="16" t="n"/>
      <c r="Q292" s="16" t="n"/>
      <c r="R292" s="16" t="n"/>
      <c r="S292" s="16" t="n"/>
      <c r="T292" s="16" t="n"/>
      <c r="U292" s="16" t="n"/>
    </row>
    <row r="293">
      <c r="A293" s="37" t="n"/>
      <c r="B293" s="16" t="n">
        <v>1733</v>
      </c>
      <c r="C293" s="16" t="inlineStr">
        <is>
          <t>Maxi</t>
        </is>
      </c>
      <c r="D293" s="17" t="n">
        <v>45975</v>
      </c>
      <c r="E293" s="16" t="inlineStr">
        <is>
          <t>RMH</t>
        </is>
      </c>
      <c r="F293" s="16" t="inlineStr">
        <is>
          <t>RM 023</t>
        </is>
      </c>
      <c r="G293" s="16" t="n">
        <v>4</v>
      </c>
      <c r="H293" s="16" t="inlineStr">
        <is>
          <t>CAMINO REAL</t>
        </is>
      </c>
      <c r="I293" s="19" t="n"/>
      <c r="J293" s="18">
        <f>IF(TRIM(F293)="","",IF(LEFT(TRIM(F293),2)="RM",IFERROR(IF(D293&gt;=DATE(2026,4,1),INDEX('LP RMH'!$F:$F,MATCH(TRIM(F293),'LP RMH'!$A:$A,0)),INDEX('LP RMH'!$E:$E,MATCH(TRIM(F293),'LP RMH'!$A:$A,0))),0),IFERROR(INDEX('LP MONCAR'!$E:$E,MATCH(TRIM(F293),'LP MONCAR'!$A:$A,0)),0)))</f>
        <v/>
      </c>
      <c r="K293" s="18" t="n">
        <v>14600</v>
      </c>
      <c r="L293" s="16" t="inlineStr">
        <is>
          <t>2025-11</t>
        </is>
      </c>
      <c r="M293" s="16" t="n"/>
      <c r="N293" s="20" t="n"/>
      <c r="O293" s="18" t="n"/>
      <c r="P293" s="16" t="n"/>
      <c r="Q293" s="16" t="n"/>
      <c r="R293" s="16" t="n"/>
      <c r="S293" s="16" t="n"/>
      <c r="T293" s="16" t="n"/>
      <c r="U293" s="16" t="n"/>
    </row>
    <row r="294">
      <c r="A294" s="37" t="n"/>
      <c r="B294" s="16" t="n">
        <v>1734</v>
      </c>
      <c r="C294" s="16" t="inlineStr">
        <is>
          <t>Maxi</t>
        </is>
      </c>
      <c r="D294" s="17" t="n">
        <v>45981</v>
      </c>
      <c r="E294" s="16" t="inlineStr">
        <is>
          <t>RMH</t>
        </is>
      </c>
      <c r="F294" s="16" t="inlineStr">
        <is>
          <t>RM 023</t>
        </is>
      </c>
      <c r="G294" s="16" t="n">
        <v>6</v>
      </c>
      <c r="H294" s="16" t="inlineStr">
        <is>
          <t>ELECTRO DIAMANTE</t>
        </is>
      </c>
      <c r="I294" s="19" t="n"/>
      <c r="J294" s="18">
        <f>IF(TRIM(F294)="","",IF(LEFT(TRIM(F294),2)="RM",IFERROR(IF(D294&gt;=DATE(2026,4,1),INDEX('LP RMH'!$F:$F,MATCH(TRIM(F294),'LP RMH'!$A:$A,0)),INDEX('LP RMH'!$E:$E,MATCH(TRIM(F294),'LP RMH'!$A:$A,0))),0),IFERROR(INDEX('LP MONCAR'!$E:$E,MATCH(TRIM(F294),'LP MONCAR'!$A:$A,0)),0)))</f>
        <v/>
      </c>
      <c r="K294" s="18" t="n">
        <v>21900</v>
      </c>
      <c r="L294" s="16" t="inlineStr">
        <is>
          <t>2025-11</t>
        </is>
      </c>
      <c r="M294" s="16" t="n"/>
      <c r="N294" s="20" t="n"/>
      <c r="O294" s="18" t="n"/>
      <c r="P294" s="16" t="n"/>
      <c r="Q294" s="16" t="n"/>
      <c r="R294" s="16" t="inlineStr">
        <is>
          <t>zona oeste</t>
        </is>
      </c>
      <c r="S294" s="16" t="n"/>
      <c r="T294" s="16" t="n"/>
      <c r="U294" s="16" t="n"/>
    </row>
    <row r="295">
      <c r="A295" s="37" t="n"/>
      <c r="B295" s="16" t="n">
        <v>1736</v>
      </c>
      <c r="C295" s="16" t="inlineStr">
        <is>
          <t>Maxi</t>
        </is>
      </c>
      <c r="D295" s="17" t="n">
        <v>45988</v>
      </c>
      <c r="E295" s="16" t="inlineStr">
        <is>
          <t>RMH</t>
        </is>
      </c>
      <c r="F295" s="16" t="inlineStr">
        <is>
          <t>RM 023</t>
        </is>
      </c>
      <c r="G295" s="16" t="n">
        <v>4</v>
      </c>
      <c r="H295" s="16" t="inlineStr">
        <is>
          <t>EL TÍO</t>
        </is>
      </c>
      <c r="I295" s="19" t="n"/>
      <c r="J295" s="18">
        <f>IF(TRIM(F295)="","",IF(LEFT(TRIM(F295),2)="RM",IFERROR(IF(D295&gt;=DATE(2026,4,1),INDEX('LP RMH'!$F:$F,MATCH(TRIM(F295),'LP RMH'!$A:$A,0)),INDEX('LP RMH'!$E:$E,MATCH(TRIM(F295),'LP RMH'!$A:$A,0))),0),IFERROR(INDEX('LP MONCAR'!$E:$E,MATCH(TRIM(F295),'LP MONCAR'!$A:$A,0)),0)))</f>
        <v/>
      </c>
      <c r="K295" s="18" t="n">
        <v>14600</v>
      </c>
      <c r="L295" s="16" t="inlineStr">
        <is>
          <t>2025-11</t>
        </is>
      </c>
      <c r="M295" s="16" t="n"/>
      <c r="N295" s="20" t="n"/>
      <c r="O295" s="18" t="n"/>
      <c r="P295" s="16" t="n"/>
      <c r="Q295" s="16" t="n"/>
      <c r="R295" s="16" t="n"/>
      <c r="S295" s="16" t="n"/>
      <c r="T295" s="16" t="n"/>
      <c r="U295" s="16" t="n"/>
    </row>
    <row r="296">
      <c r="A296" s="37" t="n"/>
      <c r="B296" s="16" t="n">
        <v>1739</v>
      </c>
      <c r="C296" s="16" t="inlineStr">
        <is>
          <t>Maxi</t>
        </is>
      </c>
      <c r="D296" s="17" t="n">
        <v>45988</v>
      </c>
      <c r="E296" s="16" t="inlineStr">
        <is>
          <t>RMH</t>
        </is>
      </c>
      <c r="F296" s="16" t="inlineStr">
        <is>
          <t>RM 022</t>
        </is>
      </c>
      <c r="G296" s="16" t="n">
        <v>5</v>
      </c>
      <c r="H296" s="16" t="inlineStr">
        <is>
          <t>PACIFICO</t>
        </is>
      </c>
      <c r="I296" s="19" t="n"/>
      <c r="J296" s="18">
        <f>IF(TRIM(F296)="","",IF(LEFT(TRIM(F296),2)="RM",IFERROR(IF(D296&gt;=DATE(2026,4,1),INDEX('LP RMH'!$F:$F,MATCH(TRIM(F296),'LP RMH'!$A:$A,0)),INDEX('LP RMH'!$E:$E,MATCH(TRIM(F296),'LP RMH'!$A:$A,0))),0),IFERROR(INDEX('LP MONCAR'!$E:$E,MATCH(TRIM(F296),'LP MONCAR'!$A:$A,0)),0)))</f>
        <v/>
      </c>
      <c r="K296" s="18" t="n">
        <v>20000</v>
      </c>
      <c r="L296" s="16" t="inlineStr">
        <is>
          <t>2025-11</t>
        </is>
      </c>
      <c r="M296" s="16" t="n"/>
      <c r="N296" s="20" t="n"/>
      <c r="O296" s="18" t="n"/>
      <c r="P296" s="16" t="n"/>
      <c r="Q296" s="16" t="n"/>
      <c r="R296" s="16" t="n"/>
      <c r="S296" s="16" t="n"/>
      <c r="T296" s="16" t="n"/>
      <c r="U296" s="16" t="n"/>
    </row>
    <row r="297">
      <c r="A297" s="37" t="n"/>
      <c r="B297" s="16" t="n">
        <v>1739</v>
      </c>
      <c r="C297" s="16" t="inlineStr">
        <is>
          <t>Maxi</t>
        </is>
      </c>
      <c r="D297" s="17" t="n">
        <v>45988</v>
      </c>
      <c r="E297" s="16" t="inlineStr">
        <is>
          <t>RMH</t>
        </is>
      </c>
      <c r="F297" s="16" t="inlineStr">
        <is>
          <t>RM 023</t>
        </is>
      </c>
      <c r="G297" s="16" t="n">
        <v>5</v>
      </c>
      <c r="H297" s="16" t="inlineStr">
        <is>
          <t>PACIFICO</t>
        </is>
      </c>
      <c r="I297" s="19" t="n"/>
      <c r="J297" s="18">
        <f>IF(TRIM(F297)="","",IF(LEFT(TRIM(F297),2)="RM",IFERROR(IF(D297&gt;=DATE(2026,4,1),INDEX('LP RMH'!$F:$F,MATCH(TRIM(F297),'LP RMH'!$A:$A,0)),INDEX('LP RMH'!$E:$E,MATCH(TRIM(F297),'LP RMH'!$A:$A,0))),0),IFERROR(INDEX('LP MONCAR'!$E:$E,MATCH(TRIM(F297),'LP MONCAR'!$A:$A,0)),0)))</f>
        <v/>
      </c>
      <c r="K297" s="18" t="n">
        <v>18250</v>
      </c>
      <c r="L297" s="16" t="inlineStr">
        <is>
          <t>2025-11</t>
        </is>
      </c>
      <c r="M297" s="16" t="n"/>
      <c r="N297" s="20" t="n"/>
      <c r="O297" s="18" t="n"/>
      <c r="P297" s="16" t="n"/>
      <c r="Q297" s="16" t="n"/>
      <c r="R297" s="16" t="n"/>
      <c r="S297" s="16" t="n"/>
      <c r="T297" s="16" t="n"/>
      <c r="U297" s="16" t="n"/>
    </row>
    <row r="298">
      <c r="A298" s="37" t="n"/>
      <c r="B298" s="16" t="n">
        <v>1739</v>
      </c>
      <c r="C298" s="16" t="inlineStr">
        <is>
          <t>Maxi</t>
        </is>
      </c>
      <c r="D298" s="17" t="n">
        <v>45988</v>
      </c>
      <c r="E298" s="16" t="inlineStr">
        <is>
          <t>RMH</t>
        </is>
      </c>
      <c r="F298" s="16" t="inlineStr">
        <is>
          <t>RM 035</t>
        </is>
      </c>
      <c r="G298" s="16" t="n">
        <v>2</v>
      </c>
      <c r="H298" s="16" t="inlineStr">
        <is>
          <t>PACIFICO</t>
        </is>
      </c>
      <c r="I298" s="19" t="n"/>
      <c r="J298" s="18">
        <f>IF(TRIM(F298)="","",IF(LEFT(TRIM(F298),2)="RM",IFERROR(IF(D298&gt;=DATE(2026,4,1),INDEX('LP RMH'!$F:$F,MATCH(TRIM(F298),'LP RMH'!$A:$A,0)),INDEX('LP RMH'!$E:$E,MATCH(TRIM(F298),'LP RMH'!$A:$A,0))),0),IFERROR(INDEX('LP MONCAR'!$E:$E,MATCH(TRIM(F298),'LP MONCAR'!$A:$A,0)),0)))</f>
        <v/>
      </c>
      <c r="K298" s="18" t="n">
        <v>7700</v>
      </c>
      <c r="L298" s="16" t="inlineStr">
        <is>
          <t>2025-11</t>
        </is>
      </c>
      <c r="M298" s="16" t="n"/>
      <c r="N298" s="20" t="n"/>
      <c r="O298" s="18" t="n"/>
      <c r="P298" s="16" t="n"/>
      <c r="Q298" s="16" t="n"/>
      <c r="R298" s="16" t="n"/>
      <c r="S298" s="16" t="n"/>
      <c r="T298" s="16" t="n"/>
      <c r="U298" s="16" t="n"/>
    </row>
    <row r="299">
      <c r="A299" s="37" t="n"/>
      <c r="B299" s="16" t="n">
        <v>1739</v>
      </c>
      <c r="C299" s="16" t="inlineStr">
        <is>
          <t>Maxi</t>
        </is>
      </c>
      <c r="D299" s="17" t="n">
        <v>45988</v>
      </c>
      <c r="E299" s="16" t="inlineStr">
        <is>
          <t>RMH</t>
        </is>
      </c>
      <c r="F299" s="16" t="inlineStr">
        <is>
          <t>RM 040</t>
        </is>
      </c>
      <c r="G299" s="16" t="n">
        <v>5</v>
      </c>
      <c r="H299" s="16" t="inlineStr">
        <is>
          <t>PACIFICO</t>
        </is>
      </c>
      <c r="I299" s="19" t="n"/>
      <c r="J299" s="18">
        <f>IF(TRIM(F299)="","",IF(LEFT(TRIM(F299),2)="RM",IFERROR(IF(D299&gt;=DATE(2026,4,1),INDEX('LP RMH'!$F:$F,MATCH(TRIM(F299),'LP RMH'!$A:$A,0)),INDEX('LP RMH'!$E:$E,MATCH(TRIM(F299),'LP RMH'!$A:$A,0))),0),IFERROR(INDEX('LP MONCAR'!$E:$E,MATCH(TRIM(F299),'LP MONCAR'!$A:$A,0)),0)))</f>
        <v/>
      </c>
      <c r="K299" s="18" t="n">
        <v>18250</v>
      </c>
      <c r="L299" s="16" t="inlineStr">
        <is>
          <t>2025-11</t>
        </is>
      </c>
      <c r="M299" s="16" t="n"/>
      <c r="N299" s="20" t="n"/>
      <c r="O299" s="18" t="n"/>
      <c r="P299" s="16" t="n"/>
      <c r="Q299" s="16" t="n"/>
      <c r="R299" s="16" t="n"/>
      <c r="S299" s="16" t="n"/>
      <c r="T299" s="16" t="n"/>
      <c r="U299" s="16" t="n"/>
    </row>
    <row r="300">
      <c r="A300" s="37" t="n"/>
      <c r="B300" s="16" t="n">
        <v>1739</v>
      </c>
      <c r="C300" s="16" t="inlineStr">
        <is>
          <t>Maxi</t>
        </is>
      </c>
      <c r="D300" s="17" t="n">
        <v>45988</v>
      </c>
      <c r="E300" s="16" t="inlineStr">
        <is>
          <t>RMH</t>
        </is>
      </c>
      <c r="F300" s="16" t="inlineStr">
        <is>
          <t>RM 102</t>
        </is>
      </c>
      <c r="G300" s="16" t="n">
        <v>2</v>
      </c>
      <c r="H300" s="16" t="inlineStr">
        <is>
          <t>PACIFICO</t>
        </is>
      </c>
      <c r="I300" s="19" t="n"/>
      <c r="J300" s="18">
        <f>IF(TRIM(F300)="","",IF(LEFT(TRIM(F300),2)="RM",IFERROR(IF(D300&gt;=DATE(2026,4,1),INDEX('LP RMH'!$F:$F,MATCH(TRIM(F300),'LP RMH'!$A:$A,0)),INDEX('LP RMH'!$E:$E,MATCH(TRIM(F300),'LP RMH'!$A:$A,0))),0),IFERROR(INDEX('LP MONCAR'!$E:$E,MATCH(TRIM(F300),'LP MONCAR'!$A:$A,0)),0)))</f>
        <v/>
      </c>
      <c r="K300" s="18" t="n">
        <v>35200</v>
      </c>
      <c r="L300" s="16" t="inlineStr">
        <is>
          <t>2025-11</t>
        </is>
      </c>
      <c r="M300" s="16" t="n"/>
      <c r="N300" s="20" t="n"/>
      <c r="O300" s="18" t="n"/>
      <c r="P300" s="16" t="n"/>
      <c r="Q300" s="16" t="n"/>
      <c r="R300" s="16" t="n"/>
      <c r="S300" s="16" t="n"/>
      <c r="T300" s="16" t="n"/>
      <c r="U300" s="16" t="n"/>
    </row>
    <row r="301">
      <c r="A301" s="37" t="n"/>
      <c r="B301" s="16" t="n">
        <v>1739</v>
      </c>
      <c r="C301" s="16" t="inlineStr">
        <is>
          <t>Maxi</t>
        </is>
      </c>
      <c r="D301" s="17" t="n">
        <v>45988</v>
      </c>
      <c r="E301" s="16" t="inlineStr">
        <is>
          <t>RMH</t>
        </is>
      </c>
      <c r="F301" s="16" t="inlineStr">
        <is>
          <t>RM 413</t>
        </is>
      </c>
      <c r="G301" s="16" t="n">
        <v>1</v>
      </c>
      <c r="H301" s="16" t="inlineStr">
        <is>
          <t>PACIFICO</t>
        </is>
      </c>
      <c r="I301" s="19" t="n"/>
      <c r="J301" s="18">
        <f>IF(TRIM(F301)="","",IF(LEFT(TRIM(F301),2)="RM",IFERROR(IF(D301&gt;=DATE(2026,4,1),INDEX('LP RMH'!$F:$F,MATCH(TRIM(F301),'LP RMH'!$A:$A,0)),INDEX('LP RMH'!$E:$E,MATCH(TRIM(F301),'LP RMH'!$A:$A,0))),0),IFERROR(INDEX('LP MONCAR'!$E:$E,MATCH(TRIM(F301),'LP MONCAR'!$A:$A,0)),0)))</f>
        <v/>
      </c>
      <c r="K301" s="18" t="n">
        <v>14000</v>
      </c>
      <c r="L301" s="16" t="inlineStr">
        <is>
          <t>2025-11</t>
        </is>
      </c>
      <c r="M301" s="16" t="n"/>
      <c r="N301" s="20" t="n"/>
      <c r="O301" s="18" t="n"/>
      <c r="P301" s="16" t="n"/>
      <c r="Q301" s="16" t="n"/>
      <c r="R301" s="16" t="n"/>
      <c r="S301" s="16" t="n"/>
      <c r="T301" s="16" t="n"/>
      <c r="U301" s="16" t="n"/>
    </row>
    <row r="302">
      <c r="A302" s="37" t="n"/>
      <c r="B302" s="16" t="n">
        <v>1739</v>
      </c>
      <c r="C302" s="16" t="inlineStr">
        <is>
          <t>Maxi</t>
        </is>
      </c>
      <c r="D302" s="17" t="n">
        <v>45988</v>
      </c>
      <c r="E302" s="16" t="inlineStr">
        <is>
          <t>RMH</t>
        </is>
      </c>
      <c r="F302" s="16" t="inlineStr">
        <is>
          <t>RM 506</t>
        </is>
      </c>
      <c r="G302" s="16" t="n">
        <v>2</v>
      </c>
      <c r="H302" s="16" t="inlineStr">
        <is>
          <t>PACIFICO</t>
        </is>
      </c>
      <c r="I302" s="19" t="n"/>
      <c r="J302" s="18">
        <f>IF(TRIM(F302)="","",IF(LEFT(TRIM(F302),2)="RM",IFERROR(IF(D302&gt;=DATE(2026,4,1),INDEX('LP RMH'!$F:$F,MATCH(TRIM(F302),'LP RMH'!$A:$A,0)),INDEX('LP RMH'!$E:$E,MATCH(TRIM(F302),'LP RMH'!$A:$A,0))),0),IFERROR(INDEX('LP MONCAR'!$E:$E,MATCH(TRIM(F302),'LP MONCAR'!$A:$A,0)),0)))</f>
        <v/>
      </c>
      <c r="K302" s="18" t="n">
        <v>9400</v>
      </c>
      <c r="L302" s="16" t="inlineStr">
        <is>
          <t>2025-11</t>
        </is>
      </c>
      <c r="M302" s="16" t="n"/>
      <c r="N302" s="20" t="n"/>
      <c r="O302" s="18" t="n"/>
      <c r="P302" s="16" t="n"/>
      <c r="Q302" s="16" t="n"/>
      <c r="R302" s="16" t="n"/>
      <c r="S302" s="16" t="n"/>
      <c r="T302" s="16" t="n"/>
      <c r="U302" s="16" t="n"/>
    </row>
    <row r="303">
      <c r="A303" s="37" t="n"/>
      <c r="B303" s="16" t="n">
        <v>1739</v>
      </c>
      <c r="C303" s="16" t="inlineStr">
        <is>
          <t>Maxi</t>
        </is>
      </c>
      <c r="D303" s="17" t="n">
        <v>45988</v>
      </c>
      <c r="E303" s="16" t="inlineStr">
        <is>
          <t>RMH</t>
        </is>
      </c>
      <c r="F303" s="16" t="inlineStr">
        <is>
          <t>RM 714</t>
        </is>
      </c>
      <c r="G303" s="16" t="n">
        <v>1</v>
      </c>
      <c r="H303" s="16" t="inlineStr">
        <is>
          <t>PACIFICO</t>
        </is>
      </c>
      <c r="I303" s="19" t="n"/>
      <c r="J303" s="18">
        <f>IF(TRIM(F303)="","",IF(LEFT(TRIM(F303),2)="RM",IFERROR(IF(D303&gt;=DATE(2026,4,1),INDEX('LP RMH'!$F:$F,MATCH(TRIM(F303),'LP RMH'!$A:$A,0)),INDEX('LP RMH'!$E:$E,MATCH(TRIM(F303),'LP RMH'!$A:$A,0))),0),IFERROR(INDEX('LP MONCAR'!$E:$E,MATCH(TRIM(F303),'LP MONCAR'!$A:$A,0)),0)))</f>
        <v/>
      </c>
      <c r="K303" s="18" t="n">
        <v>16700</v>
      </c>
      <c r="L303" s="16" t="inlineStr">
        <is>
          <t>2025-11</t>
        </is>
      </c>
      <c r="M303" s="16" t="n"/>
      <c r="N303" s="20" t="n"/>
      <c r="O303" s="18" t="n"/>
      <c r="P303" s="16" t="n"/>
      <c r="Q303" s="16" t="n"/>
      <c r="R303" s="16" t="n"/>
      <c r="S303" s="16" t="n"/>
      <c r="T303" s="16" t="n"/>
      <c r="U303" s="16" t="n"/>
    </row>
    <row r="304">
      <c r="A304" s="37" t="n"/>
      <c r="B304" s="16" t="n">
        <v>1740</v>
      </c>
      <c r="C304" s="16" t="inlineStr">
        <is>
          <t>Maxi</t>
        </is>
      </c>
      <c r="D304" s="17" t="n">
        <v>45988</v>
      </c>
      <c r="E304" s="16" t="inlineStr">
        <is>
          <t>RMH</t>
        </is>
      </c>
      <c r="F304" s="16" t="inlineStr">
        <is>
          <t>RM 035</t>
        </is>
      </c>
      <c r="G304" s="16" t="n">
        <v>25</v>
      </c>
      <c r="H304" s="16" t="inlineStr">
        <is>
          <t>LA GLORIA DE DIOS</t>
        </is>
      </c>
      <c r="I304" s="19" t="n"/>
      <c r="J304" s="18">
        <f>IF(TRIM(F304)="","",IF(LEFT(TRIM(F304),2)="RM",IFERROR(IF(D304&gt;=DATE(2026,4,1),INDEX('LP RMH'!$F:$F,MATCH(TRIM(F304),'LP RMH'!$A:$A,0)),INDEX('LP RMH'!$E:$E,MATCH(TRIM(F304),'LP RMH'!$A:$A,0))),0),IFERROR(INDEX('LP MONCAR'!$E:$E,MATCH(TRIM(F304),'LP MONCAR'!$A:$A,0)),0)))</f>
        <v/>
      </c>
      <c r="K304" s="18" t="n">
        <v>96250</v>
      </c>
      <c r="L304" s="16" t="inlineStr">
        <is>
          <t>2025-11</t>
        </is>
      </c>
      <c r="M304" s="16" t="n"/>
      <c r="N304" s="20" t="n"/>
      <c r="O304" s="18" t="n"/>
      <c r="P304" s="16" t="n"/>
      <c r="Q304" s="16" t="n"/>
      <c r="R304" s="16" t="n"/>
      <c r="S304" s="16" t="n"/>
      <c r="T304" s="16" t="n"/>
      <c r="U304" s="16" t="n"/>
    </row>
    <row r="305">
      <c r="A305" s="37" t="n"/>
      <c r="B305" s="16" t="n">
        <v>1740</v>
      </c>
      <c r="C305" s="16" t="inlineStr">
        <is>
          <t>Maxi</t>
        </is>
      </c>
      <c r="D305" s="17" t="n">
        <v>45988</v>
      </c>
      <c r="E305" s="16" t="inlineStr">
        <is>
          <t>RMH</t>
        </is>
      </c>
      <c r="F305" s="16" t="inlineStr">
        <is>
          <t>RM 102</t>
        </is>
      </c>
      <c r="G305" s="16" t="n">
        <v>2</v>
      </c>
      <c r="H305" s="16" t="inlineStr">
        <is>
          <t>LA GLORIA DE DIOS</t>
        </is>
      </c>
      <c r="I305" s="19" t="n"/>
      <c r="J305" s="18">
        <f>IF(TRIM(F305)="","",IF(LEFT(TRIM(F305),2)="RM",IFERROR(IF(D305&gt;=DATE(2026,4,1),INDEX('LP RMH'!$F:$F,MATCH(TRIM(F305),'LP RMH'!$A:$A,0)),INDEX('LP RMH'!$E:$E,MATCH(TRIM(F305),'LP RMH'!$A:$A,0))),0),IFERROR(INDEX('LP MONCAR'!$E:$E,MATCH(TRIM(F305),'LP MONCAR'!$A:$A,0)),0)))</f>
        <v/>
      </c>
      <c r="K305" s="18" t="n">
        <v>35200</v>
      </c>
      <c r="L305" s="16" t="inlineStr">
        <is>
          <t>2025-11</t>
        </is>
      </c>
      <c r="M305" s="16" t="n"/>
      <c r="N305" s="20" t="n"/>
      <c r="O305" s="18" t="n"/>
      <c r="P305" s="16" t="n"/>
      <c r="Q305" s="16" t="n"/>
      <c r="R305" s="16" t="n"/>
      <c r="S305" s="16" t="n"/>
      <c r="T305" s="16" t="n"/>
      <c r="U305" s="16" t="n"/>
    </row>
    <row r="306">
      <c r="A306" s="37" t="n"/>
      <c r="B306" s="16" t="n">
        <v>1740</v>
      </c>
      <c r="C306" s="16" t="inlineStr">
        <is>
          <t>Maxi</t>
        </is>
      </c>
      <c r="D306" s="17" t="n">
        <v>45988</v>
      </c>
      <c r="E306" s="16" t="inlineStr">
        <is>
          <t>RMH</t>
        </is>
      </c>
      <c r="F306" s="16" t="inlineStr">
        <is>
          <t>RM 416</t>
        </is>
      </c>
      <c r="G306" s="16" t="n">
        <v>2</v>
      </c>
      <c r="H306" s="16" t="inlineStr">
        <is>
          <t>LA GLORIA DE DIOS</t>
        </is>
      </c>
      <c r="I306" s="19" t="n"/>
      <c r="J306" s="18">
        <f>IF(TRIM(F306)="","",IF(LEFT(TRIM(F306),2)="RM",IFERROR(IF(D306&gt;=DATE(2026,4,1),INDEX('LP RMH'!$F:$F,MATCH(TRIM(F306),'LP RMH'!$A:$A,0)),INDEX('LP RMH'!$E:$E,MATCH(TRIM(F306),'LP RMH'!$A:$A,0))),0),IFERROR(INDEX('LP MONCAR'!$E:$E,MATCH(TRIM(F306),'LP MONCAR'!$A:$A,0)),0)))</f>
        <v/>
      </c>
      <c r="K306" s="18" t="n">
        <v>33400</v>
      </c>
      <c r="L306" s="16" t="inlineStr">
        <is>
          <t>2025-11</t>
        </is>
      </c>
      <c r="M306" s="16" t="n"/>
      <c r="N306" s="20" t="n"/>
      <c r="O306" s="18" t="n"/>
      <c r="P306" s="16" t="n"/>
      <c r="Q306" s="16" t="n"/>
      <c r="R306" s="16" t="n"/>
      <c r="S306" s="16" t="n"/>
      <c r="T306" s="16" t="n"/>
      <c r="U306" s="16" t="n"/>
    </row>
    <row r="307">
      <c r="A307" s="37" t="n"/>
      <c r="B307" s="16" t="n">
        <v>1740</v>
      </c>
      <c r="C307" s="16" t="inlineStr">
        <is>
          <t>Maxi</t>
        </is>
      </c>
      <c r="D307" s="17" t="n">
        <v>45988</v>
      </c>
      <c r="E307" s="16" t="inlineStr">
        <is>
          <t>RMH</t>
        </is>
      </c>
      <c r="F307" s="16" t="inlineStr">
        <is>
          <t>RM 714</t>
        </is>
      </c>
      <c r="G307" s="16" t="n">
        <v>2</v>
      </c>
      <c r="H307" s="16" t="inlineStr">
        <is>
          <t>LA GLORIA DE DIOS</t>
        </is>
      </c>
      <c r="I307" s="19" t="n"/>
      <c r="J307" s="18">
        <f>IF(TRIM(F307)="","",IF(LEFT(TRIM(F307),2)="RM",IFERROR(IF(D307&gt;=DATE(2026,4,1),INDEX('LP RMH'!$F:$F,MATCH(TRIM(F307),'LP RMH'!$A:$A,0)),INDEX('LP RMH'!$E:$E,MATCH(TRIM(F307),'LP RMH'!$A:$A,0))),0),IFERROR(INDEX('LP MONCAR'!$E:$E,MATCH(TRIM(F307),'LP MONCAR'!$A:$A,0)),0)))</f>
        <v/>
      </c>
      <c r="K307" s="18" t="n">
        <v>33400</v>
      </c>
      <c r="L307" s="16" t="inlineStr">
        <is>
          <t>2025-11</t>
        </is>
      </c>
      <c r="M307" s="16" t="n"/>
      <c r="N307" s="20" t="n"/>
      <c r="O307" s="18" t="n"/>
      <c r="P307" s="16" t="n"/>
      <c r="Q307" s="16" t="n"/>
      <c r="R307" s="16" t="n"/>
      <c r="S307" s="16" t="n"/>
      <c r="T307" s="16" t="n"/>
      <c r="U307" s="16" t="n"/>
    </row>
    <row r="308">
      <c r="A308" s="37" t="n"/>
      <c r="B308" s="16" t="n">
        <v>1759</v>
      </c>
      <c r="C308" s="16" t="inlineStr">
        <is>
          <t>Maxi</t>
        </is>
      </c>
      <c r="D308" s="17" t="n">
        <v>46014</v>
      </c>
      <c r="E308" s="16" t="inlineStr">
        <is>
          <t>RMH</t>
        </is>
      </c>
      <c r="F308" s="16" t="inlineStr">
        <is>
          <t>RM 035</t>
        </is>
      </c>
      <c r="G308" s="16" t="n">
        <v>10</v>
      </c>
      <c r="H308" s="16" t="inlineStr">
        <is>
          <t>CASA FRANCHI</t>
        </is>
      </c>
      <c r="I308" s="19" t="n"/>
      <c r="J308" s="18">
        <f>IF(TRIM(F308)="","",IF(LEFT(TRIM(F308),2)="RM",IFERROR(IF(D308&gt;=DATE(2026,4,1),INDEX('LP RMH'!$F:$F,MATCH(TRIM(F308),'LP RMH'!$A:$A,0)),INDEX('LP RMH'!$E:$E,MATCH(TRIM(F308),'LP RMH'!$A:$A,0))),0),IFERROR(INDEX('LP MONCAR'!$E:$E,MATCH(TRIM(F308),'LP MONCAR'!$A:$A,0)),0)))</f>
        <v/>
      </c>
      <c r="K308" s="18" t="n">
        <v>38500</v>
      </c>
      <c r="L308" s="16" t="inlineStr">
        <is>
          <t>2025-12</t>
        </is>
      </c>
      <c r="M308" s="16" t="n"/>
      <c r="N308" s="20" t="n"/>
      <c r="O308" s="18" t="n"/>
      <c r="P308" s="16" t="n"/>
      <c r="Q308" s="16" t="n"/>
      <c r="R308" s="16" t="n"/>
      <c r="S308" s="16" t="n"/>
      <c r="T308" s="16" t="n"/>
      <c r="U308" s="16" t="n"/>
    </row>
    <row r="309">
      <c r="A309" s="37" t="n"/>
      <c r="B309" s="16" t="n">
        <v>1765</v>
      </c>
      <c r="C309" s="16" t="inlineStr">
        <is>
          <t>Maxi</t>
        </is>
      </c>
      <c r="D309" s="17" t="n">
        <v>46028</v>
      </c>
      <c r="E309" s="16" t="inlineStr">
        <is>
          <t>RMH</t>
        </is>
      </c>
      <c r="F309" s="16" t="inlineStr">
        <is>
          <t>RM 023</t>
        </is>
      </c>
      <c r="G309" s="16" t="n">
        <v>3</v>
      </c>
      <c r="H309" s="16" t="inlineStr">
        <is>
          <t>CASA SAENZ</t>
        </is>
      </c>
      <c r="I309" s="19" t="n"/>
      <c r="J309" s="18">
        <f>IF(TRIM(F309)="","",IF(LEFT(TRIM(F309),2)="RM",IFERROR(IF(D309&gt;=DATE(2026,4,1),INDEX('LP RMH'!$F:$F,MATCH(TRIM(F309),'LP RMH'!$A:$A,0)),INDEX('LP RMH'!$E:$E,MATCH(TRIM(F309),'LP RMH'!$A:$A,0))),0),IFERROR(INDEX('LP MONCAR'!$E:$E,MATCH(TRIM(F309),'LP MONCAR'!$A:$A,0)),0)))</f>
        <v/>
      </c>
      <c r="K309" s="18" t="n">
        <v>10950</v>
      </c>
      <c r="L309" s="16" t="inlineStr">
        <is>
          <t>2026-01</t>
        </is>
      </c>
      <c r="M309" s="16" t="n"/>
      <c r="N309" s="20" t="n"/>
      <c r="O309" s="18" t="n"/>
      <c r="P309" s="16" t="n"/>
      <c r="Q309" s="16" t="n"/>
      <c r="R309" s="16" t="n"/>
      <c r="S309" s="16" t="n"/>
      <c r="T309" s="16" t="n"/>
      <c r="U309" s="16" t="n"/>
    </row>
    <row r="310">
      <c r="A310" s="37" t="n"/>
      <c r="B310" s="16" t="n">
        <v>1765</v>
      </c>
      <c r="C310" s="16" t="inlineStr">
        <is>
          <t>Maxi</t>
        </is>
      </c>
      <c r="D310" s="17" t="n">
        <v>46028</v>
      </c>
      <c r="E310" s="16" t="inlineStr">
        <is>
          <t>RMH</t>
        </is>
      </c>
      <c r="F310" s="16" t="inlineStr">
        <is>
          <t>RM 035</t>
        </is>
      </c>
      <c r="G310" s="16" t="n">
        <v>5</v>
      </c>
      <c r="H310" s="16" t="inlineStr">
        <is>
          <t>CASA SAENZ</t>
        </is>
      </c>
      <c r="I310" s="19" t="n"/>
      <c r="J310" s="18">
        <f>IF(TRIM(F310)="","",IF(LEFT(TRIM(F310),2)="RM",IFERROR(IF(D310&gt;=DATE(2026,4,1),INDEX('LP RMH'!$F:$F,MATCH(TRIM(F310),'LP RMH'!$A:$A,0)),INDEX('LP RMH'!$E:$E,MATCH(TRIM(F310),'LP RMH'!$A:$A,0))),0),IFERROR(INDEX('LP MONCAR'!$E:$E,MATCH(TRIM(F310),'LP MONCAR'!$A:$A,0)),0)))</f>
        <v/>
      </c>
      <c r="K310" s="18" t="n">
        <v>19250</v>
      </c>
      <c r="L310" s="16" t="inlineStr">
        <is>
          <t>2026-01</t>
        </is>
      </c>
      <c r="M310" s="16" t="n"/>
      <c r="N310" s="20" t="n"/>
      <c r="O310" s="18" t="n"/>
      <c r="P310" s="16" t="n"/>
      <c r="Q310" s="16" t="n"/>
      <c r="R310" s="16" t="n"/>
      <c r="S310" s="16" t="n"/>
      <c r="T310" s="16" t="n"/>
      <c r="U310" s="16" t="n"/>
    </row>
    <row r="311">
      <c r="A311" s="37" t="n"/>
      <c r="B311" s="16" t="n">
        <v>1765</v>
      </c>
      <c r="C311" s="16" t="inlineStr">
        <is>
          <t>Maxi</t>
        </is>
      </c>
      <c r="D311" s="17" t="n">
        <v>46028</v>
      </c>
      <c r="E311" s="16" t="inlineStr">
        <is>
          <t>RMH</t>
        </is>
      </c>
      <c r="F311" s="16" t="inlineStr">
        <is>
          <t>RM 414</t>
        </is>
      </c>
      <c r="G311" s="16" t="n">
        <v>2</v>
      </c>
      <c r="H311" s="16" t="inlineStr">
        <is>
          <t>CASA SAENZ</t>
        </is>
      </c>
      <c r="I311" s="19" t="n"/>
      <c r="J311" s="18">
        <f>IF(TRIM(F311)="","",IF(LEFT(TRIM(F311),2)="RM",IFERROR(IF(D311&gt;=DATE(2026,4,1),INDEX('LP RMH'!$F:$F,MATCH(TRIM(F311),'LP RMH'!$A:$A,0)),INDEX('LP RMH'!$E:$E,MATCH(TRIM(F311),'LP RMH'!$A:$A,0))),0),IFERROR(INDEX('LP MONCAR'!$E:$E,MATCH(TRIM(F311),'LP MONCAR'!$A:$A,0)),0)))</f>
        <v/>
      </c>
      <c r="K311" s="18" t="n">
        <v>28000</v>
      </c>
      <c r="L311" s="16" t="inlineStr">
        <is>
          <t>2026-01</t>
        </is>
      </c>
      <c r="M311" s="16" t="n"/>
      <c r="N311" s="20" t="n"/>
      <c r="O311" s="18" t="n"/>
      <c r="P311" s="16" t="n"/>
      <c r="Q311" s="16" t="n"/>
      <c r="R311" s="16" t="n"/>
      <c r="S311" s="16" t="n"/>
      <c r="T311" s="16" t="n"/>
      <c r="U311" s="16" t="n"/>
    </row>
    <row r="312">
      <c r="A312" s="37" t="n"/>
      <c r="B312" s="16" t="n">
        <v>1780</v>
      </c>
      <c r="C312" s="16" t="inlineStr">
        <is>
          <t>Maxi</t>
        </is>
      </c>
      <c r="D312" s="17" t="n">
        <v>46063</v>
      </c>
      <c r="E312" s="16" t="inlineStr">
        <is>
          <t>RMH</t>
        </is>
      </c>
      <c r="F312" s="16" t="inlineStr">
        <is>
          <t>RM 023</t>
        </is>
      </c>
      <c r="G312" s="16" t="n">
        <v>4</v>
      </c>
      <c r="H312" s="16" t="inlineStr">
        <is>
          <t>EL OBRADOR</t>
        </is>
      </c>
      <c r="I312" s="19" t="n"/>
      <c r="J312" s="18">
        <f>IF(TRIM(F312)="","",IF(LEFT(TRIM(F312),2)="RM",IFERROR(IF(D312&gt;=DATE(2026,4,1),INDEX('LP RMH'!$F:$F,MATCH(TRIM(F312),'LP RMH'!$A:$A,0)),INDEX('LP RMH'!$E:$E,MATCH(TRIM(F312),'LP RMH'!$A:$A,0))),0),IFERROR(INDEX('LP MONCAR'!$E:$E,MATCH(TRIM(F312),'LP MONCAR'!$A:$A,0)),0)))</f>
        <v/>
      </c>
      <c r="K312" s="18" t="n">
        <v>14600</v>
      </c>
      <c r="L312" s="16" t="inlineStr">
        <is>
          <t>2026-02</t>
        </is>
      </c>
      <c r="M312" s="16" t="n"/>
      <c r="N312" s="20" t="n"/>
      <c r="O312" s="18" t="n"/>
      <c r="P312" s="16" t="n"/>
      <c r="Q312" s="16" t="n"/>
      <c r="R312" s="16" t="n"/>
      <c r="S312" s="16" t="n"/>
      <c r="T312" s="16" t="n"/>
      <c r="U312" s="16" t="n"/>
    </row>
    <row r="313">
      <c r="A313" s="37" t="n"/>
      <c r="B313" s="16" t="n">
        <v>1780</v>
      </c>
      <c r="C313" s="16" t="inlineStr">
        <is>
          <t>Maxi</t>
        </is>
      </c>
      <c r="D313" s="17" t="n">
        <v>46063</v>
      </c>
      <c r="E313" s="16" t="inlineStr">
        <is>
          <t>RMH</t>
        </is>
      </c>
      <c r="F313" s="16" t="inlineStr">
        <is>
          <t>RM 035</t>
        </is>
      </c>
      <c r="G313" s="16" t="n">
        <v>25</v>
      </c>
      <c r="H313" s="16" t="inlineStr">
        <is>
          <t>EL OBRADOR</t>
        </is>
      </c>
      <c r="I313" s="19" t="n"/>
      <c r="J313" s="18">
        <f>IF(TRIM(F313)="","",IF(LEFT(TRIM(F313),2)="RM",IFERROR(IF(D313&gt;=DATE(2026,4,1),INDEX('LP RMH'!$F:$F,MATCH(TRIM(F313),'LP RMH'!$A:$A,0)),INDEX('LP RMH'!$E:$E,MATCH(TRIM(F313),'LP RMH'!$A:$A,0))),0),IFERROR(INDEX('LP MONCAR'!$E:$E,MATCH(TRIM(F313),'LP MONCAR'!$A:$A,0)),0)))</f>
        <v/>
      </c>
      <c r="K313" s="18" t="n">
        <v>96250</v>
      </c>
      <c r="L313" s="16" t="inlineStr">
        <is>
          <t>2026-02</t>
        </is>
      </c>
      <c r="M313" s="16" t="n"/>
      <c r="N313" s="20" t="n"/>
      <c r="O313" s="18" t="n"/>
      <c r="P313" s="16" t="n"/>
      <c r="Q313" s="16" t="n"/>
      <c r="R313" s="16" t="n"/>
      <c r="S313" s="16" t="n"/>
      <c r="T313" s="16" t="n"/>
      <c r="U313" s="16" t="n"/>
    </row>
    <row r="314">
      <c r="A314" s="37" t="n"/>
      <c r="B314" s="16" t="n">
        <v>1780</v>
      </c>
      <c r="C314" s="16" t="inlineStr">
        <is>
          <t>Maxi</t>
        </is>
      </c>
      <c r="D314" s="17" t="n">
        <v>46063</v>
      </c>
      <c r="E314" s="16" t="inlineStr">
        <is>
          <t>RMH</t>
        </is>
      </c>
      <c r="F314" s="16" t="inlineStr">
        <is>
          <t>RM 041</t>
        </is>
      </c>
      <c r="G314" s="16" t="n">
        <v>4</v>
      </c>
      <c r="H314" s="16" t="inlineStr">
        <is>
          <t>EL OBRADOR</t>
        </is>
      </c>
      <c r="I314" s="19" t="n"/>
      <c r="J314" s="18">
        <f>IF(TRIM(F314)="","",IF(LEFT(TRIM(F314),2)="RM",IFERROR(IF(D314&gt;=DATE(2026,4,1),INDEX('LP RMH'!$F:$F,MATCH(TRIM(F314),'LP RMH'!$A:$A,0)),INDEX('LP RMH'!$E:$E,MATCH(TRIM(F314),'LP RMH'!$A:$A,0))),0),IFERROR(INDEX('LP MONCAR'!$E:$E,MATCH(TRIM(F314),'LP MONCAR'!$A:$A,0)),0)))</f>
        <v/>
      </c>
      <c r="K314" s="18" t="n">
        <v>14600</v>
      </c>
      <c r="L314" s="16" t="inlineStr">
        <is>
          <t>2026-02</t>
        </is>
      </c>
      <c r="M314" s="16" t="n"/>
      <c r="N314" s="20" t="n"/>
      <c r="O314" s="18" t="n"/>
      <c r="P314" s="16" t="n"/>
      <c r="Q314" s="16" t="n"/>
      <c r="R314" s="16" t="n"/>
      <c r="S314" s="16" t="n"/>
      <c r="T314" s="16" t="n"/>
      <c r="U314" s="16" t="n"/>
    </row>
    <row r="315">
      <c r="A315" s="37" t="n"/>
      <c r="B315" s="16" t="n">
        <v>1780</v>
      </c>
      <c r="C315" s="16" t="inlineStr">
        <is>
          <t>Maxi</t>
        </is>
      </c>
      <c r="D315" s="17" t="n">
        <v>46063</v>
      </c>
      <c r="E315" s="16" t="inlineStr">
        <is>
          <t>RMH</t>
        </is>
      </c>
      <c r="F315" s="16" t="inlineStr">
        <is>
          <t>RM 416</t>
        </is>
      </c>
      <c r="G315" s="16" t="n">
        <v>6</v>
      </c>
      <c r="H315" s="16" t="inlineStr">
        <is>
          <t>EL OBRADOR</t>
        </is>
      </c>
      <c r="I315" s="19" t="n"/>
      <c r="J315" s="18">
        <f>IF(TRIM(F315)="","",IF(LEFT(TRIM(F315),2)="RM",IFERROR(IF(D315&gt;=DATE(2026,4,1),INDEX('LP RMH'!$F:$F,MATCH(TRIM(F315),'LP RMH'!$A:$A,0)),INDEX('LP RMH'!$E:$E,MATCH(TRIM(F315),'LP RMH'!$A:$A,0))),0),IFERROR(INDEX('LP MONCAR'!$E:$E,MATCH(TRIM(F315),'LP MONCAR'!$A:$A,0)),0)))</f>
        <v/>
      </c>
      <c r="K315" s="18" t="n">
        <v>100200</v>
      </c>
      <c r="L315" s="16" t="inlineStr">
        <is>
          <t>2026-02</t>
        </is>
      </c>
      <c r="M315" s="16" t="n"/>
      <c r="N315" s="20" t="n"/>
      <c r="O315" s="18" t="n"/>
      <c r="P315" s="16" t="n"/>
      <c r="Q315" s="16" t="n"/>
      <c r="R315" s="16" t="n"/>
      <c r="S315" s="16" t="n"/>
      <c r="T315" s="16" t="n"/>
      <c r="U315" s="16" t="n"/>
    </row>
    <row r="316">
      <c r="A316" s="37" t="n"/>
      <c r="B316" s="16" t="n">
        <v>1792</v>
      </c>
      <c r="C316" s="16" t="inlineStr">
        <is>
          <t>Maxi</t>
        </is>
      </c>
      <c r="D316" s="17" t="n">
        <v>46087</v>
      </c>
      <c r="E316" s="16" t="inlineStr">
        <is>
          <t>RMH</t>
        </is>
      </c>
      <c r="F316" s="16" t="inlineStr">
        <is>
          <t>RM 023</t>
        </is>
      </c>
      <c r="G316" s="16" t="n">
        <v>3</v>
      </c>
      <c r="H316" s="16" t="inlineStr">
        <is>
          <t>PACIFICO 2</t>
        </is>
      </c>
      <c r="I316" s="19" t="n"/>
      <c r="J316" s="18">
        <f>IF(TRIM(F316)="","",IF(LEFT(TRIM(F316),2)="RM",IFERROR(IF(D316&gt;=DATE(2026,4,1),INDEX('LP RMH'!$F:$F,MATCH(TRIM(F316),'LP RMH'!$A:$A,0)),INDEX('LP RMH'!$E:$E,MATCH(TRIM(F316),'LP RMH'!$A:$A,0))),0),IFERROR(INDEX('LP MONCAR'!$E:$E,MATCH(TRIM(F316),'LP MONCAR'!$A:$A,0)),0)))</f>
        <v/>
      </c>
      <c r="K316" s="18" t="n">
        <v>10950</v>
      </c>
      <c r="L316" s="16" t="inlineStr">
        <is>
          <t>2026-03</t>
        </is>
      </c>
      <c r="M316" s="16" t="n"/>
      <c r="N316" s="20" t="n"/>
      <c r="O316" s="18" t="n"/>
      <c r="P316" s="16" t="n"/>
      <c r="Q316" s="16" t="n"/>
      <c r="R316" s="16" t="n"/>
      <c r="S316" s="16" t="n"/>
      <c r="T316" s="16" t="n"/>
      <c r="U316" s="16" t="n"/>
    </row>
    <row r="317">
      <c r="A317" s="37" t="n"/>
      <c r="B317" s="16" t="n">
        <v>1792</v>
      </c>
      <c r="C317" s="16" t="inlineStr">
        <is>
          <t>Maxi</t>
        </is>
      </c>
      <c r="D317" s="17" t="n">
        <v>46087</v>
      </c>
      <c r="E317" s="16" t="inlineStr">
        <is>
          <t>RMH</t>
        </is>
      </c>
      <c r="F317" s="16" t="inlineStr">
        <is>
          <t>RM 026</t>
        </is>
      </c>
      <c r="G317" s="16" t="n">
        <v>2</v>
      </c>
      <c r="H317" s="16" t="inlineStr">
        <is>
          <t>PACIFICO 2</t>
        </is>
      </c>
      <c r="I317" s="19" t="n"/>
      <c r="J317" s="18">
        <f>IF(TRIM(F317)="","",IF(LEFT(TRIM(F317),2)="RM",IFERROR(IF(D317&gt;=DATE(2026,4,1),INDEX('LP RMH'!$F:$F,MATCH(TRIM(F317),'LP RMH'!$A:$A,0)),INDEX('LP RMH'!$E:$E,MATCH(TRIM(F317),'LP RMH'!$A:$A,0))),0),IFERROR(INDEX('LP MONCAR'!$E:$E,MATCH(TRIM(F317),'LP MONCAR'!$A:$A,0)),0)))</f>
        <v/>
      </c>
      <c r="K317" s="18" t="n">
        <v>7300</v>
      </c>
      <c r="L317" s="16" t="inlineStr">
        <is>
          <t>2026-03</t>
        </is>
      </c>
      <c r="M317" s="16" t="n"/>
      <c r="N317" s="20" t="n"/>
      <c r="O317" s="18" t="n"/>
      <c r="P317" s="16" t="n"/>
      <c r="Q317" s="16" t="n"/>
      <c r="R317" s="16" t="n"/>
      <c r="S317" s="16" t="n"/>
      <c r="T317" s="16" t="n"/>
      <c r="U317" s="16" t="n"/>
    </row>
    <row r="318">
      <c r="A318" s="37" t="n"/>
      <c r="B318" s="16" t="n">
        <v>1792</v>
      </c>
      <c r="C318" s="16" t="inlineStr">
        <is>
          <t>Maxi</t>
        </is>
      </c>
      <c r="D318" s="17" t="n">
        <v>46087</v>
      </c>
      <c r="E318" s="16" t="inlineStr">
        <is>
          <t>RMH</t>
        </is>
      </c>
      <c r="F318" s="16" t="inlineStr">
        <is>
          <t>RM 032</t>
        </is>
      </c>
      <c r="G318" s="16" t="n">
        <v>3</v>
      </c>
      <c r="H318" s="16" t="inlineStr">
        <is>
          <t>PACIFICO 2</t>
        </is>
      </c>
      <c r="I318" s="19" t="n"/>
      <c r="J318" s="18">
        <f>IF(TRIM(F318)="","",IF(LEFT(TRIM(F318),2)="RM",IFERROR(IF(D318&gt;=DATE(2026,4,1),INDEX('LP RMH'!$F:$F,MATCH(TRIM(F318),'LP RMH'!$A:$A,0)),INDEX('LP RMH'!$E:$E,MATCH(TRIM(F318),'LP RMH'!$A:$A,0))),0),IFERROR(INDEX('LP MONCAR'!$E:$E,MATCH(TRIM(F318),'LP MONCAR'!$A:$A,0)),0)))</f>
        <v/>
      </c>
      <c r="K318" s="18" t="n">
        <v>33000</v>
      </c>
      <c r="L318" s="16" t="inlineStr">
        <is>
          <t>2026-03</t>
        </is>
      </c>
      <c r="M318" s="16" t="n"/>
      <c r="N318" s="20" t="n"/>
      <c r="O318" s="18" t="n"/>
      <c r="P318" s="16" t="n"/>
      <c r="Q318" s="16" t="n"/>
      <c r="R318" s="16" t="n"/>
      <c r="S318" s="16" t="n"/>
      <c r="T318" s="16" t="n"/>
      <c r="U318" s="16" t="n"/>
    </row>
    <row r="319">
      <c r="A319" s="37" t="n"/>
      <c r="B319" s="16" t="n">
        <v>1792</v>
      </c>
      <c r="C319" s="16" t="inlineStr">
        <is>
          <t>Maxi</t>
        </is>
      </c>
      <c r="D319" s="17" t="n">
        <v>46087</v>
      </c>
      <c r="E319" s="16" t="inlineStr">
        <is>
          <t>RMH</t>
        </is>
      </c>
      <c r="F319" s="16" t="inlineStr">
        <is>
          <t>RM 041</t>
        </is>
      </c>
      <c r="G319" s="16" t="n">
        <v>2</v>
      </c>
      <c r="H319" s="16" t="inlineStr">
        <is>
          <t>PACIFICO 2</t>
        </is>
      </c>
      <c r="I319" s="19" t="n"/>
      <c r="J319" s="18">
        <f>IF(TRIM(F319)="","",IF(LEFT(TRIM(F319),2)="RM",IFERROR(IF(D319&gt;=DATE(2026,4,1),INDEX('LP RMH'!$F:$F,MATCH(TRIM(F319),'LP RMH'!$A:$A,0)),INDEX('LP RMH'!$E:$E,MATCH(TRIM(F319),'LP RMH'!$A:$A,0))),0),IFERROR(INDEX('LP MONCAR'!$E:$E,MATCH(TRIM(F319),'LP MONCAR'!$A:$A,0)),0)))</f>
        <v/>
      </c>
      <c r="K319" s="18" t="n">
        <v>7300</v>
      </c>
      <c r="L319" s="16" t="inlineStr">
        <is>
          <t>2026-03</t>
        </is>
      </c>
      <c r="M319" s="16" t="n"/>
      <c r="N319" s="20" t="n"/>
      <c r="O319" s="18" t="n"/>
      <c r="P319" s="16" t="n"/>
      <c r="Q319" s="16" t="n"/>
      <c r="R319" s="16" t="n"/>
      <c r="S319" s="16" t="n"/>
      <c r="T319" s="16" t="n"/>
      <c r="U319" s="16" t="n"/>
    </row>
    <row r="320">
      <c r="A320" s="37" t="n"/>
      <c r="B320" s="16" t="n">
        <v>1792</v>
      </c>
      <c r="C320" s="16" t="inlineStr">
        <is>
          <t>Maxi</t>
        </is>
      </c>
      <c r="D320" s="17" t="n">
        <v>46087</v>
      </c>
      <c r="E320" s="16" t="inlineStr">
        <is>
          <t>RMH</t>
        </is>
      </c>
      <c r="F320" s="16" t="inlineStr">
        <is>
          <t>RM 413</t>
        </is>
      </c>
      <c r="G320" s="16" t="n">
        <v>3</v>
      </c>
      <c r="H320" s="16" t="inlineStr">
        <is>
          <t>PACIFICO 2</t>
        </is>
      </c>
      <c r="I320" s="19" t="n"/>
      <c r="J320" s="18">
        <f>IF(TRIM(F320)="","",IF(LEFT(TRIM(F320),2)="RM",IFERROR(IF(D320&gt;=DATE(2026,4,1),INDEX('LP RMH'!$F:$F,MATCH(TRIM(F320),'LP RMH'!$A:$A,0)),INDEX('LP RMH'!$E:$E,MATCH(TRIM(F320),'LP RMH'!$A:$A,0))),0),IFERROR(INDEX('LP MONCAR'!$E:$E,MATCH(TRIM(F320),'LP MONCAR'!$A:$A,0)),0)))</f>
        <v/>
      </c>
      <c r="K320" s="18" t="n">
        <v>42000</v>
      </c>
      <c r="L320" s="16" t="inlineStr">
        <is>
          <t>2026-03</t>
        </is>
      </c>
      <c r="M320" s="16" t="n"/>
      <c r="N320" s="20" t="n"/>
      <c r="O320" s="18" t="n"/>
      <c r="P320" s="16" t="n"/>
      <c r="Q320" s="16" t="n"/>
      <c r="R320" s="16" t="n"/>
      <c r="S320" s="16" t="n"/>
      <c r="T320" s="16" t="n"/>
      <c r="U320" s="16" t="n"/>
    </row>
    <row r="321">
      <c r="A321" s="37" t="n"/>
      <c r="B321" s="16" t="n">
        <v>1792</v>
      </c>
      <c r="C321" s="16" t="inlineStr">
        <is>
          <t>Maxi</t>
        </is>
      </c>
      <c r="D321" s="17" t="n">
        <v>46087</v>
      </c>
      <c r="E321" s="16" t="inlineStr">
        <is>
          <t>RMH</t>
        </is>
      </c>
      <c r="F321" s="16" t="inlineStr">
        <is>
          <t>RM 414</t>
        </is>
      </c>
      <c r="G321" s="16" t="n">
        <v>3</v>
      </c>
      <c r="H321" s="16" t="inlineStr">
        <is>
          <t>PACIFICO 2</t>
        </is>
      </c>
      <c r="I321" s="19" t="n"/>
      <c r="J321" s="18">
        <f>IF(TRIM(F321)="","",IF(LEFT(TRIM(F321),2)="RM",IFERROR(IF(D321&gt;=DATE(2026,4,1),INDEX('LP RMH'!$F:$F,MATCH(TRIM(F321),'LP RMH'!$A:$A,0)),INDEX('LP RMH'!$E:$E,MATCH(TRIM(F321),'LP RMH'!$A:$A,0))),0),IFERROR(INDEX('LP MONCAR'!$E:$E,MATCH(TRIM(F321),'LP MONCAR'!$A:$A,0)),0)))</f>
        <v/>
      </c>
      <c r="K321" s="18" t="n">
        <v>42000</v>
      </c>
      <c r="L321" s="16" t="inlineStr">
        <is>
          <t>2026-03</t>
        </is>
      </c>
      <c r="M321" s="16" t="n"/>
      <c r="N321" s="20" t="n"/>
      <c r="O321" s="18" t="n"/>
      <c r="P321" s="16" t="n"/>
      <c r="Q321" s="16" t="n"/>
      <c r="R321" s="16" t="n"/>
      <c r="S321" s="16" t="n"/>
      <c r="T321" s="16" t="n"/>
      <c r="U321" s="16" t="n"/>
    </row>
    <row r="322">
      <c r="A322" s="37" t="n"/>
      <c r="B322" s="16" t="n">
        <v>1795</v>
      </c>
      <c r="C322" s="16" t="inlineStr">
        <is>
          <t>Maxi</t>
        </is>
      </c>
      <c r="D322" s="17" t="n">
        <v>46087</v>
      </c>
      <c r="E322" s="16" t="inlineStr">
        <is>
          <t>RMH</t>
        </is>
      </c>
      <c r="F322" s="16" t="inlineStr">
        <is>
          <t>RM 506</t>
        </is>
      </c>
      <c r="G322" s="16" t="n">
        <v>5</v>
      </c>
      <c r="H322" s="16" t="inlineStr">
        <is>
          <t>CASA SAENZ</t>
        </is>
      </c>
      <c r="I322" s="19" t="n"/>
      <c r="J322" s="18">
        <f>IF(TRIM(F322)="","",IF(LEFT(TRIM(F322),2)="RM",IFERROR(IF(D322&gt;=DATE(2026,4,1),INDEX('LP RMH'!$F:$F,MATCH(TRIM(F322),'LP RMH'!$A:$A,0)),INDEX('LP RMH'!$E:$E,MATCH(TRIM(F322),'LP RMH'!$A:$A,0))),0),IFERROR(INDEX('LP MONCAR'!$E:$E,MATCH(TRIM(F322),'LP MONCAR'!$A:$A,0)),0)))</f>
        <v/>
      </c>
      <c r="K322" s="18" t="n">
        <v>23500</v>
      </c>
      <c r="L322" s="16" t="inlineStr">
        <is>
          <t>2026-03</t>
        </is>
      </c>
      <c r="M322" s="16" t="n"/>
      <c r="N322" s="20" t="n"/>
      <c r="O322" s="18" t="n"/>
      <c r="P322" s="16" t="n"/>
      <c r="Q322" s="16" t="n"/>
      <c r="R322" s="16" t="n"/>
      <c r="S322" s="16" t="n"/>
      <c r="T322" s="16" t="n"/>
      <c r="U322" s="16" t="n"/>
    </row>
    <row r="323">
      <c r="A323" s="37" t="n"/>
      <c r="B323" s="16" t="n">
        <v>1318</v>
      </c>
      <c r="C323" s="16" t="inlineStr">
        <is>
          <t>Maxi</t>
        </is>
      </c>
      <c r="D323" s="17" t="n">
        <v>46163</v>
      </c>
      <c r="E323" s="16">
        <f>IFERROR(IF(LEFT(F323,2)="RM","RMH","MONCAR"),"")</f>
        <v/>
      </c>
      <c r="F323" s="16" t="inlineStr">
        <is>
          <t>CF 189</t>
        </is>
      </c>
      <c r="G323" s="16" t="n">
        <v>2</v>
      </c>
      <c r="H323" s="16" t="inlineStr">
        <is>
          <t>FERRETERIA DEVOTO</t>
        </is>
      </c>
      <c r="I323" s="19" t="n"/>
      <c r="J323" s="18">
        <f>IF(TRIM(F323)="","",IF(LEFT(TRIM(F323),2)="RM",IFERROR(IF(D323&gt;=DATE(2026,4,1),INDEX('LP RMH'!$F:$F,MATCH(TRIM(F323),'LP RMH'!$A:$A,0)),INDEX('LP RMH'!$E:$E,MATCH(TRIM(F323),'LP RMH'!$A:$A,0))),0),IFERROR(INDEX('LP MONCAR'!$E:$E,MATCH(TRIM(F323),'LP MONCAR'!$A:$A,0)),0)))</f>
        <v/>
      </c>
      <c r="K323" s="18">
        <f>IF(AND(ISNUMBER(G323),ISNUMBER(J323),G323&gt;0,J323&gt;0),G323*J323,"")</f>
        <v/>
      </c>
      <c r="L323" s="16">
        <f>IF(D323&lt;&gt;"",TEXT(D323,"YYYY-MM"),"")</f>
        <v/>
      </c>
      <c r="M323" s="16" t="n"/>
      <c r="N323" s="18">
        <f>IFERROR(IF(ISNUMBER(G323),G323*VLOOKUP(F323,Costos!$A$4:$E$320,5,0),0),0)</f>
        <v/>
      </c>
      <c r="O323" s="18">
        <f>IF(K323&lt;&gt;"",K323-N323,"")</f>
        <v/>
      </c>
      <c r="P323" s="16" t="n"/>
      <c r="Q323" s="16" t="n"/>
      <c r="R323" s="16" t="n"/>
      <c r="S323" s="16" t="n"/>
      <c r="T323" s="16" t="n"/>
      <c r="U323" s="16" t="n"/>
    </row>
    <row r="324">
      <c r="A324" s="37" t="n"/>
      <c r="B324" s="16" t="n">
        <v>1318</v>
      </c>
      <c r="C324" s="16" t="inlineStr">
        <is>
          <t>Maxi</t>
        </is>
      </c>
      <c r="D324" s="17" t="n">
        <v>46163</v>
      </c>
      <c r="E324" s="16">
        <f>IFERROR(IF(LEFT(F324,2)="RM","RMH","MONCAR"),"")</f>
        <v/>
      </c>
      <c r="F324" s="16" t="inlineStr">
        <is>
          <t>CF 001</t>
        </is>
      </c>
      <c r="G324" s="16" t="n">
        <v>2</v>
      </c>
      <c r="H324" s="16" t="inlineStr">
        <is>
          <t>FERRETERIA DEVOTO</t>
        </is>
      </c>
      <c r="I324" s="19" t="n"/>
      <c r="J324" s="18">
        <f>IF(TRIM(F324)="","",IF(LEFT(TRIM(F324),2)="RM",IFERROR(IF(D324&gt;=DATE(2026,4,1),INDEX('LP RMH'!$F:$F,MATCH(TRIM(F324),'LP RMH'!$A:$A,0)),INDEX('LP RMH'!$E:$E,MATCH(TRIM(F324),'LP RMH'!$A:$A,0))),0),IFERROR(INDEX('LP MONCAR'!$E:$E,MATCH(TRIM(F324),'LP MONCAR'!$A:$A,0)),0)))</f>
        <v/>
      </c>
      <c r="K324" s="18">
        <f>IF(AND(ISNUMBER(G324),ISNUMBER(J324),G324&gt;0,J324&gt;0),G324*J324,"")</f>
        <v/>
      </c>
      <c r="L324" s="16">
        <f>IF(D324&lt;&gt;"",TEXT(D324,"YYYY-MM"),"")</f>
        <v/>
      </c>
      <c r="M324" s="16" t="n"/>
      <c r="N324" s="18">
        <f>IFERROR(IF(ISNUMBER(G324),G324*VLOOKUP(F324,Costos!$A$4:$E$320,5,0),0),0)</f>
        <v/>
      </c>
      <c r="O324" s="18">
        <f>IF(K324&lt;&gt;"",K324-N324,"")</f>
        <v/>
      </c>
      <c r="P324" s="16">
        <f>IFERROR(VLOOKUP(F324,'LP MONCAR'!$A$4:$C$500,3,0),"")</f>
        <v/>
      </c>
      <c r="Q324" s="16">
        <f>IFERROR(VLOOKUP(H324,Clientes!$A$2:$H$400,2,0),"")</f>
        <v/>
      </c>
      <c r="R324" s="16">
        <f>IFERROR(VLOOKUP(H324,Clientes!$A$2:$H$400,3,0),"")</f>
        <v/>
      </c>
      <c r="S324" s="16">
        <f>IFERROR(VLOOKUP(H324,Clientes!$A$2:$H$400,4,0),"")</f>
        <v/>
      </c>
      <c r="T324" s="16">
        <f>IFERROR(VLOOKUP(H324,Clientes!$A$2:$H$400,5,0),"")</f>
        <v/>
      </c>
      <c r="U324" s="16">
        <f>IFERROR(VLOOKUP(F324,'LP MONCAR'!$A$4:$D$500,4,0),"")</f>
        <v/>
      </c>
    </row>
    <row r="325">
      <c r="A325" s="37" t="n"/>
      <c r="B325" s="16" t="n">
        <v>1318</v>
      </c>
      <c r="C325" s="16" t="inlineStr">
        <is>
          <t>Maxi</t>
        </is>
      </c>
      <c r="D325" s="17" t="n">
        <v>46163</v>
      </c>
      <c r="E325" s="16">
        <f>IFERROR(IF(LEFT(F325,2)="RM","RMH","MONCAR"),"")</f>
        <v/>
      </c>
      <c r="F325" s="16" t="inlineStr">
        <is>
          <t>CF 751</t>
        </is>
      </c>
      <c r="G325" s="16" t="n">
        <v>10</v>
      </c>
      <c r="H325" s="16" t="inlineStr">
        <is>
          <t>FERRETERIA DEVOTO</t>
        </is>
      </c>
      <c r="I325" s="19" t="n"/>
      <c r="J325" s="18">
        <f>IF(TRIM(F325)="","",IF(LEFT(TRIM(F325),2)="RM",IFERROR(IF(D325&gt;=DATE(2026,4,1),INDEX('LP RMH'!$F:$F,MATCH(TRIM(F325),'LP RMH'!$A:$A,0)),INDEX('LP RMH'!$E:$E,MATCH(TRIM(F325),'LP RMH'!$A:$A,0))),0),IFERROR(INDEX('LP MONCAR'!$E:$E,MATCH(TRIM(F325),'LP MONCAR'!$A:$A,0)),0)))</f>
        <v/>
      </c>
      <c r="K325" s="18">
        <f>IF(AND(ISNUMBER(G325),ISNUMBER(J325),G325&gt;0,J325&gt;0),G325*J325,"")</f>
        <v/>
      </c>
      <c r="L325" s="16">
        <f>IF(D325&lt;&gt;"",TEXT(D325,"YYYY-MM"),"")</f>
        <v/>
      </c>
      <c r="M325" s="16" t="n"/>
      <c r="N325" s="18">
        <f>IFERROR(IF(ISNUMBER(G325),G325*VLOOKUP(F325,Costos!$A$4:$E$320,5,0),0),0)</f>
        <v/>
      </c>
      <c r="O325" s="18">
        <f>IF(K325&lt;&gt;"",K325-N325,"")</f>
        <v/>
      </c>
      <c r="P325" s="16">
        <f>IFERROR(VLOOKUP(F325,'LP MONCAR'!$A$4:$C$500,3,0),"")</f>
        <v/>
      </c>
      <c r="Q325" s="16">
        <f>IFERROR(VLOOKUP(H325,Clientes!$A$2:$H$400,2,0),"")</f>
        <v/>
      </c>
      <c r="R325" s="16">
        <f>IFERROR(VLOOKUP(H325,Clientes!$A$2:$H$400,3,0),"")</f>
        <v/>
      </c>
      <c r="S325" s="16">
        <f>IFERROR(VLOOKUP(H325,Clientes!$A$2:$H$400,4,0),"")</f>
        <v/>
      </c>
      <c r="T325" s="16">
        <f>IFERROR(VLOOKUP(H325,Clientes!$A$2:$H$400,5,0),"")</f>
        <v/>
      </c>
      <c r="U325" s="16">
        <f>IFERROR(VLOOKUP(F325,'LP MONCAR'!$A$4:$D$500,4,0),"")</f>
        <v/>
      </c>
    </row>
    <row r="326">
      <c r="A326" s="37" t="n"/>
      <c r="B326" s="16" t="n">
        <v>1318</v>
      </c>
      <c r="C326" s="16" t="inlineStr">
        <is>
          <t>Maxi</t>
        </is>
      </c>
      <c r="D326" s="17" t="n">
        <v>46163</v>
      </c>
      <c r="E326" s="16">
        <f>IFERROR(IF(LEFT(F326,2)="RM","RMH","MONCAR"),"")</f>
        <v/>
      </c>
      <c r="F326" s="16" t="inlineStr">
        <is>
          <t>CF 768</t>
        </is>
      </c>
      <c r="G326" s="16" t="n">
        <v>2</v>
      </c>
      <c r="H326" s="16" t="inlineStr">
        <is>
          <t>FERRETERIA DEVOTO</t>
        </is>
      </c>
      <c r="I326" s="19" t="n"/>
      <c r="J326" s="18">
        <f>IF(TRIM(F326)="","",IF(LEFT(TRIM(F326),2)="RM",IFERROR(IF(D326&gt;=DATE(2026,4,1),INDEX('LP RMH'!$F:$F,MATCH(TRIM(F326),'LP RMH'!$A:$A,0)),INDEX('LP RMH'!$E:$E,MATCH(TRIM(F326),'LP RMH'!$A:$A,0))),0),IFERROR(INDEX('LP MONCAR'!$E:$E,MATCH(TRIM(F326),'LP MONCAR'!$A:$A,0)),0)))</f>
        <v/>
      </c>
      <c r="K326" s="18">
        <f>IF(AND(ISNUMBER(G326),ISNUMBER(J326),G326&gt;0,J326&gt;0),G326*J326,"")</f>
        <v/>
      </c>
      <c r="L326" s="16">
        <f>IF(D326&lt;&gt;"",TEXT(D326,"YYYY-MM"),"")</f>
        <v/>
      </c>
      <c r="M326" s="16" t="n"/>
      <c r="N326" s="18">
        <f>IFERROR(IF(ISNUMBER(G326),G326*VLOOKUP(F326,Costos!$A$4:$E$320,5,0),0),0)</f>
        <v/>
      </c>
      <c r="O326" s="18">
        <f>IF(K326&lt;&gt;"",K326-N326,"")</f>
        <v/>
      </c>
      <c r="P326" s="16">
        <f>IFERROR(VLOOKUP(F326,'LP MONCAR'!$A$4:$C$500,3,0),"")</f>
        <v/>
      </c>
      <c r="Q326" s="16">
        <f>IFERROR(VLOOKUP(H326,Clientes!$A$2:$H$400,2,0),"")</f>
        <v/>
      </c>
      <c r="R326" s="16">
        <f>IFERROR(VLOOKUP(H326,Clientes!$A$2:$H$400,3,0),"")</f>
        <v/>
      </c>
      <c r="S326" s="16">
        <f>IFERROR(VLOOKUP(H326,Clientes!$A$2:$H$400,4,0),"")</f>
        <v/>
      </c>
      <c r="T326" s="16">
        <f>IFERROR(VLOOKUP(H326,Clientes!$A$2:$H$400,5,0),"")</f>
        <v/>
      </c>
      <c r="U326" s="16">
        <f>IFERROR(VLOOKUP(F326,'LP MONCAR'!$A$4:$D$500,4,0),"")</f>
        <v/>
      </c>
    </row>
    <row r="327">
      <c r="A327" s="37" t="n"/>
      <c r="B327" s="16" t="n">
        <v>1301</v>
      </c>
      <c r="C327" s="16" t="inlineStr">
        <is>
          <t>Maxi</t>
        </is>
      </c>
      <c r="D327" s="17" t="n">
        <v>46150</v>
      </c>
      <c r="E327" s="16">
        <f>IFERROR(IF(LEFT(F327,2)="RM","RMH","MONCAR"),"")</f>
        <v/>
      </c>
      <c r="F327" s="16" t="inlineStr">
        <is>
          <t>CF 663</t>
        </is>
      </c>
      <c r="G327" s="16" t="n">
        <v>5</v>
      </c>
      <c r="H327" s="16" t="inlineStr">
        <is>
          <t>AYL MAQUINAS</t>
        </is>
      </c>
      <c r="I327" s="19" t="n"/>
      <c r="J327" s="18">
        <f>IF(TRIM(F327)="","",IF(LEFT(TRIM(F327),2)="RM",IFERROR(IF(D327&gt;=DATE(2026,4,1),INDEX('LP RMH'!$F:$F,MATCH(TRIM(F327),'LP RMH'!$A:$A,0)),INDEX('LP RMH'!$E:$E,MATCH(TRIM(F327),'LP RMH'!$A:$A,0))),0),IFERROR(INDEX('LP MONCAR'!$E:$E,MATCH(TRIM(F327),'LP MONCAR'!$A:$A,0)),0)))</f>
        <v/>
      </c>
      <c r="K327" s="18">
        <f>IF(AND(ISNUMBER(G327),ISNUMBER(J327),G327&gt;0,J327&gt;0),G327*J327,"")</f>
        <v/>
      </c>
      <c r="L327" s="16">
        <f>IF(D327&lt;&gt;"",TEXT(D327,"YYYY-MM"),"")</f>
        <v/>
      </c>
      <c r="M327" s="16" t="n"/>
      <c r="N327" s="18">
        <f>IFERROR(IF(ISNUMBER(G327),G327*VLOOKUP(F327,Costos!$A$4:$E$320,5,0),0),0)</f>
        <v/>
      </c>
      <c r="O327" s="16">
        <f>IF(K327&lt;&gt;"",K327-N327,"")</f>
        <v/>
      </c>
      <c r="P327" s="16">
        <f>IFERROR(VLOOKUP(F327,'LP MONCAR'!$A$4:$C$500,3,0),"")</f>
        <v/>
      </c>
      <c r="Q327" s="16">
        <f>IFERROR(VLOOKUP(H327,Clientes!$A$2:$H$400,2,0),"")</f>
        <v/>
      </c>
      <c r="R327" s="16">
        <f>IFERROR(VLOOKUP(H327,Clientes!$A$2:$H$400,3,0),"")</f>
        <v/>
      </c>
      <c r="S327" s="16">
        <f>IFERROR(VLOOKUP(H327,Clientes!$A$2:$H$400,4,0),"")</f>
        <v/>
      </c>
      <c r="T327" s="16">
        <f>IFERROR(VLOOKUP(H327,Clientes!$A$2:$H$400,5,0),"")</f>
        <v/>
      </c>
      <c r="U327" s="16">
        <f>IFERROR(VLOOKUP(F327,'LP MONCAR'!$A$4:$D$500,4,0),"")</f>
        <v/>
      </c>
    </row>
    <row r="328">
      <c r="A328" s="37" t="n"/>
      <c r="B328" s="16" t="n">
        <v>1301</v>
      </c>
      <c r="C328" s="16" t="inlineStr">
        <is>
          <t>Maxi</t>
        </is>
      </c>
      <c r="D328" s="17" t="n">
        <v>46150</v>
      </c>
      <c r="E328" s="16">
        <f>IFERROR(IF(LEFT(F328,2)="RM","RMH","MONCAR"),"")</f>
        <v/>
      </c>
      <c r="F328" s="16" t="inlineStr">
        <is>
          <t>CF 674</t>
        </is>
      </c>
      <c r="G328" s="16" t="n">
        <v>30</v>
      </c>
      <c r="H328" s="16" t="inlineStr">
        <is>
          <t>AYL MAQUINAS</t>
        </is>
      </c>
      <c r="I328" s="19" t="n"/>
      <c r="J328" s="18">
        <f>IF(TRIM(F328)="","",IF(LEFT(TRIM(F328),2)="RM",IFERROR(IF(D328&gt;=DATE(2026,4,1),INDEX('LP RMH'!$F:$F,MATCH(TRIM(F328),'LP RMH'!$A:$A,0)),INDEX('LP RMH'!$E:$E,MATCH(TRIM(F328),'LP RMH'!$A:$A,0))),0),IFERROR(INDEX('LP MONCAR'!$E:$E,MATCH(TRIM(F328),'LP MONCAR'!$A:$A,0)),0)))</f>
        <v/>
      </c>
      <c r="K328" s="18">
        <f>IF(AND(ISNUMBER(G328),ISNUMBER(J328),G328&gt;0,J328&gt;0),G328*J328,"")</f>
        <v/>
      </c>
      <c r="L328" s="16">
        <f>IF(D328&lt;&gt;"",TEXT(D328,"YYYY-MM"),"")</f>
        <v/>
      </c>
      <c r="M328" s="16" t="n"/>
      <c r="N328" s="18">
        <f>IFERROR(IF(ISNUMBER(G328),G328*VLOOKUP(F328,Costos!$A$4:$E$320,5,0),0),0)</f>
        <v/>
      </c>
      <c r="O328" s="16">
        <f>IF(K328&lt;&gt;"",K328-N328,"")</f>
        <v/>
      </c>
      <c r="P328" s="16">
        <f>IFERROR(VLOOKUP(F328,'LP MONCAR'!$A$4:$C$500,3,0),"")</f>
        <v/>
      </c>
      <c r="Q328" s="16">
        <f>IFERROR(VLOOKUP(H328,Clientes!$A$2:$H$400,2,0),"")</f>
        <v/>
      </c>
      <c r="R328" s="16">
        <f>IFERROR(VLOOKUP(H328,Clientes!$A$2:$H$400,3,0),"")</f>
        <v/>
      </c>
      <c r="S328" s="16">
        <f>IFERROR(VLOOKUP(H328,Clientes!$A$2:$H$400,4,0),"")</f>
        <v/>
      </c>
      <c r="T328" s="16">
        <f>IFERROR(VLOOKUP(H328,Clientes!$A$2:$H$400,5,0),"")</f>
        <v/>
      </c>
      <c r="U328" s="16">
        <f>IFERROR(VLOOKUP(F328,'LP MONCAR'!$A$4:$D$500,4,0),"")</f>
        <v/>
      </c>
    </row>
    <row r="329">
      <c r="A329" s="37" t="n"/>
      <c r="B329" s="16" t="n">
        <v>1301</v>
      </c>
      <c r="C329" s="16" t="inlineStr">
        <is>
          <t>Maxi</t>
        </is>
      </c>
      <c r="D329" s="17" t="n">
        <v>46150</v>
      </c>
      <c r="E329" s="16">
        <f>IFERROR(IF(LEFT(F329,2)="RM","RMH","MONCAR"),"")</f>
        <v/>
      </c>
      <c r="F329" s="16" t="inlineStr">
        <is>
          <t>CF 675</t>
        </is>
      </c>
      <c r="G329" s="16" t="n">
        <v>5</v>
      </c>
      <c r="H329" s="16" t="inlineStr">
        <is>
          <t>AYL MAQUINAS</t>
        </is>
      </c>
      <c r="I329" s="19" t="n"/>
      <c r="J329" s="18">
        <f>IF(TRIM(F329)="","",IF(LEFT(TRIM(F329),2)="RM",IFERROR(IF(D329&gt;=DATE(2026,4,1),INDEX('LP RMH'!$F:$F,MATCH(TRIM(F329),'LP RMH'!$A:$A,0)),INDEX('LP RMH'!$E:$E,MATCH(TRIM(F329),'LP RMH'!$A:$A,0))),0),IFERROR(INDEX('LP MONCAR'!$E:$E,MATCH(TRIM(F329),'LP MONCAR'!$A:$A,0)),0)))</f>
        <v/>
      </c>
      <c r="K329" s="18">
        <f>IF(AND(ISNUMBER(G329),ISNUMBER(J329),G329&gt;0,J329&gt;0),G329*J329,"")</f>
        <v/>
      </c>
      <c r="L329" s="16">
        <f>IF(D329&lt;&gt;"",TEXT(D329,"YYYY-MM"),"")</f>
        <v/>
      </c>
      <c r="M329" s="16" t="n"/>
      <c r="N329" s="18">
        <f>IFERROR(IF(ISNUMBER(G329),G329*VLOOKUP(F329,Costos!$A$4:$E$320,5,0),0),0)</f>
        <v/>
      </c>
      <c r="O329" s="16">
        <f>IF(K329&lt;&gt;"",K329-N329,"")</f>
        <v/>
      </c>
      <c r="P329" s="16">
        <f>IFERROR(VLOOKUP(F329,'LP MONCAR'!$A$4:$C$500,3,0),"")</f>
        <v/>
      </c>
      <c r="Q329" s="16">
        <f>IFERROR(VLOOKUP(H329,Clientes!$A$2:$H$400,2,0),"")</f>
        <v/>
      </c>
      <c r="R329" s="16">
        <f>IFERROR(VLOOKUP(H329,Clientes!$A$2:$H$400,3,0),"")</f>
        <v/>
      </c>
      <c r="S329" s="16">
        <f>IFERROR(VLOOKUP(H329,Clientes!$A$2:$H$400,4,0),"")</f>
        <v/>
      </c>
      <c r="T329" s="16">
        <f>IFERROR(VLOOKUP(H329,Clientes!$A$2:$H$400,5,0),"")</f>
        <v/>
      </c>
      <c r="U329" s="16">
        <f>IFERROR(VLOOKUP(F329,'LP MONCAR'!$A$4:$D$500,4,0),"")</f>
        <v/>
      </c>
    </row>
    <row r="330">
      <c r="A330" s="37" t="n"/>
      <c r="B330" s="16" t="n">
        <v>1301</v>
      </c>
      <c r="C330" s="16" t="inlineStr">
        <is>
          <t>Maxi</t>
        </is>
      </c>
      <c r="D330" s="17" t="n">
        <v>46150</v>
      </c>
      <c r="E330" s="16">
        <f>IFERROR(IF(LEFT(F330,2)="RM","RMH","MONCAR"),"")</f>
        <v/>
      </c>
      <c r="F330" s="16" t="inlineStr">
        <is>
          <t>CF 017</t>
        </is>
      </c>
      <c r="G330" s="16" t="n">
        <v>10</v>
      </c>
      <c r="H330" s="16" t="inlineStr">
        <is>
          <t>AYL MAQUINAS</t>
        </is>
      </c>
      <c r="I330" s="19" t="n"/>
      <c r="J330" s="18">
        <f>IF(TRIM(F330)="","",IF(LEFT(TRIM(F330),2)="RM",IFERROR(IF(D330&gt;=DATE(2026,4,1),INDEX('LP RMH'!$F:$F,MATCH(TRIM(F330),'LP RMH'!$A:$A,0)),INDEX('LP RMH'!$E:$E,MATCH(TRIM(F330),'LP RMH'!$A:$A,0))),0),IFERROR(INDEX('LP MONCAR'!$E:$E,MATCH(TRIM(F330),'LP MONCAR'!$A:$A,0)),0)))</f>
        <v/>
      </c>
      <c r="K330" s="18">
        <f>IF(AND(ISNUMBER(G330),ISNUMBER(J330),G330&gt;0,J330&gt;0),G330*J330,"")</f>
        <v/>
      </c>
      <c r="L330" s="16">
        <f>IF(D330&lt;&gt;"",TEXT(D330,"YYYY-MM"),"")</f>
        <v/>
      </c>
      <c r="M330" s="16" t="n"/>
      <c r="N330" s="18">
        <f>IFERROR(IF(ISNUMBER(G330),G330*VLOOKUP(F330,Costos!$A$4:$E$320,5,0),0),0)</f>
        <v/>
      </c>
      <c r="O330" s="16">
        <f>IF(K330&lt;&gt;"",K330-N330,"")</f>
        <v/>
      </c>
      <c r="P330" s="16">
        <f>IFERROR(VLOOKUP(F330,'LP MONCAR'!$A$4:$C$500,3,0),"")</f>
        <v/>
      </c>
      <c r="Q330" s="16">
        <f>IFERROR(VLOOKUP(H330,Clientes!$A$2:$H$400,2,0),"")</f>
        <v/>
      </c>
      <c r="R330" s="16">
        <f>IFERROR(VLOOKUP(H330,Clientes!$A$2:$H$400,3,0),"")</f>
        <v/>
      </c>
      <c r="S330" s="16">
        <f>IFERROR(VLOOKUP(H330,Clientes!$A$2:$H$400,4,0),"")</f>
        <v/>
      </c>
      <c r="T330" s="16">
        <f>IFERROR(VLOOKUP(H330,Clientes!$A$2:$H$400,5,0),"")</f>
        <v/>
      </c>
      <c r="U330" s="16">
        <f>IFERROR(VLOOKUP(F330,'LP MONCAR'!$A$4:$D$500,4,0),"")</f>
        <v/>
      </c>
    </row>
    <row r="331">
      <c r="A331" s="37" t="n"/>
      <c r="B331" s="16" t="n">
        <v>1301</v>
      </c>
      <c r="C331" s="16" t="inlineStr">
        <is>
          <t>Maxi</t>
        </is>
      </c>
      <c r="D331" s="17" t="n">
        <v>46150</v>
      </c>
      <c r="E331" s="16">
        <f>IFERROR(IF(LEFT(F331,2)="RM","RMH","MONCAR"),"")</f>
        <v/>
      </c>
      <c r="F331" s="16" t="inlineStr">
        <is>
          <t>CF 611</t>
        </is>
      </c>
      <c r="G331" s="16" t="n">
        <v>5</v>
      </c>
      <c r="H331" s="16" t="inlineStr">
        <is>
          <t>AYL MAQUINAS</t>
        </is>
      </c>
      <c r="I331" s="19" t="n"/>
      <c r="J331" s="18">
        <f>IF(TRIM(F331)="","",IF(LEFT(TRIM(F331),2)="RM",IFERROR(IF(D331&gt;=DATE(2026,4,1),INDEX('LP RMH'!$F:$F,MATCH(TRIM(F331),'LP RMH'!$A:$A,0)),INDEX('LP RMH'!$E:$E,MATCH(TRIM(F331),'LP RMH'!$A:$A,0))),0),IFERROR(INDEX('LP MONCAR'!$E:$E,MATCH(TRIM(F331),'LP MONCAR'!$A:$A,0)),0)))</f>
        <v/>
      </c>
      <c r="K331" s="18">
        <f>IF(AND(ISNUMBER(G331),ISNUMBER(J331),G331&gt;0,J331&gt;0),G331*J331,"")</f>
        <v/>
      </c>
      <c r="L331" s="16">
        <f>IF(D331&lt;&gt;"",TEXT(D331,"YYYY-MM"),"")</f>
        <v/>
      </c>
      <c r="M331" s="16" t="n"/>
      <c r="N331" s="18">
        <f>IFERROR(IF(ISNUMBER(G331),G331*VLOOKUP(F331,Costos!$A$4:$E$320,5,0),0),0)</f>
        <v/>
      </c>
      <c r="O331" s="16">
        <f>IF(K331&lt;&gt;"",K331-N331,"")</f>
        <v/>
      </c>
      <c r="P331" s="16">
        <f>IFERROR(VLOOKUP(F331,'LP MONCAR'!$A$4:$C$500,3,0),"")</f>
        <v/>
      </c>
      <c r="Q331" s="16">
        <f>IFERROR(VLOOKUP(H331,Clientes!$A$2:$H$400,2,0),"")</f>
        <v/>
      </c>
      <c r="R331" s="16">
        <f>IFERROR(VLOOKUP(H331,Clientes!$A$2:$H$400,3,0),"")</f>
        <v/>
      </c>
      <c r="S331" s="16">
        <f>IFERROR(VLOOKUP(H331,Clientes!$A$2:$H$400,4,0),"")</f>
        <v/>
      </c>
      <c r="T331" s="16">
        <f>IFERROR(VLOOKUP(H331,Clientes!$A$2:$H$400,5,0),"")</f>
        <v/>
      </c>
      <c r="U331" s="16">
        <f>IFERROR(VLOOKUP(F331,'LP MONCAR'!$A$4:$D$500,4,0),"")</f>
        <v/>
      </c>
    </row>
    <row r="332">
      <c r="A332" s="37" t="n"/>
      <c r="B332" s="16" t="n">
        <v>1301</v>
      </c>
      <c r="C332" s="16" t="inlineStr">
        <is>
          <t>Maxi</t>
        </is>
      </c>
      <c r="D332" s="17" t="n">
        <v>46150</v>
      </c>
      <c r="E332" s="16">
        <f>IFERROR(IF(LEFT(F332,2)="RM","RMH","MONCAR"),"")</f>
        <v/>
      </c>
      <c r="F332" s="16" t="inlineStr">
        <is>
          <t>CF 612</t>
        </is>
      </c>
      <c r="G332" s="16" t="n">
        <v>10</v>
      </c>
      <c r="H332" s="16" t="inlineStr">
        <is>
          <t>AYL MAQUINAS</t>
        </is>
      </c>
      <c r="I332" s="19" t="n"/>
      <c r="J332" s="18">
        <f>IF(TRIM(F332)="","",IF(LEFT(TRIM(F332),2)="RM",IFERROR(IF(D332&gt;=DATE(2026,4,1),INDEX('LP RMH'!$F:$F,MATCH(TRIM(F332),'LP RMH'!$A:$A,0)),INDEX('LP RMH'!$E:$E,MATCH(TRIM(F332),'LP RMH'!$A:$A,0))),0),IFERROR(INDEX('LP MONCAR'!$E:$E,MATCH(TRIM(F332),'LP MONCAR'!$A:$A,0)),0)))</f>
        <v/>
      </c>
      <c r="K332" s="18">
        <f>IF(AND(ISNUMBER(G332),ISNUMBER(J332),G332&gt;0,J332&gt;0),G332*J332,"")</f>
        <v/>
      </c>
      <c r="L332" s="16">
        <f>IF(D332&lt;&gt;"",TEXT(D332,"YYYY-MM"),"")</f>
        <v/>
      </c>
      <c r="M332" s="16" t="n"/>
      <c r="N332" s="18">
        <f>IFERROR(IF(ISNUMBER(G332),G332*VLOOKUP(F332,Costos!$A$4:$E$320,5,0),0),0)</f>
        <v/>
      </c>
      <c r="O332" s="16">
        <f>IF(K332&lt;&gt;"",K332-N332,"")</f>
        <v/>
      </c>
      <c r="P332" s="16">
        <f>IFERROR(VLOOKUP(F332,'LP MONCAR'!$A$4:$C$500,3,0),"")</f>
        <v/>
      </c>
      <c r="Q332" s="16">
        <f>IFERROR(VLOOKUP(H332,Clientes!$A$2:$H$400,2,0),"")</f>
        <v/>
      </c>
      <c r="R332" s="16">
        <f>IFERROR(VLOOKUP(H332,Clientes!$A$2:$H$400,3,0),"")</f>
        <v/>
      </c>
      <c r="S332" s="16">
        <f>IFERROR(VLOOKUP(H332,Clientes!$A$2:$H$400,4,0),"")</f>
        <v/>
      </c>
      <c r="T332" s="16">
        <f>IFERROR(VLOOKUP(H332,Clientes!$A$2:$H$400,5,0),"")</f>
        <v/>
      </c>
      <c r="U332" s="16">
        <f>IFERROR(VLOOKUP(F332,'LP MONCAR'!$A$4:$D$500,4,0),"")</f>
        <v/>
      </c>
    </row>
    <row r="333">
      <c r="A333" s="37" t="n"/>
      <c r="B333" s="16" t="n">
        <v>1301</v>
      </c>
      <c r="C333" s="16" t="inlineStr">
        <is>
          <t>Maxi</t>
        </is>
      </c>
      <c r="D333" s="17" t="n">
        <v>46150</v>
      </c>
      <c r="E333" s="16">
        <f>IFERROR(IF(LEFT(F333,2)="RM","RMH","MONCAR"),"")</f>
        <v/>
      </c>
      <c r="F333" s="16" t="inlineStr">
        <is>
          <t>CF 614</t>
        </is>
      </c>
      <c r="G333" s="16" t="n">
        <v>15</v>
      </c>
      <c r="H333" s="16" t="inlineStr">
        <is>
          <t>AYL MAQUINAS</t>
        </is>
      </c>
      <c r="I333" s="19" t="n"/>
      <c r="J333" s="18">
        <f>IF(TRIM(F333)="","",IF(LEFT(TRIM(F333),2)="RM",IFERROR(IF(D333&gt;=DATE(2026,4,1),INDEX('LP RMH'!$F:$F,MATCH(TRIM(F333),'LP RMH'!$A:$A,0)),INDEX('LP RMH'!$E:$E,MATCH(TRIM(F333),'LP RMH'!$A:$A,0))),0),IFERROR(INDEX('LP MONCAR'!$E:$E,MATCH(TRIM(F333),'LP MONCAR'!$A:$A,0)),0)))</f>
        <v/>
      </c>
      <c r="K333" s="18">
        <f>IF(AND(ISNUMBER(G333),ISNUMBER(J333),G333&gt;0,J333&gt;0),G333*J333,"")</f>
        <v/>
      </c>
      <c r="L333" s="16">
        <f>IF(D333&lt;&gt;"",TEXT(D333,"YYYY-MM"),"")</f>
        <v/>
      </c>
      <c r="M333" s="16" t="n"/>
      <c r="N333" s="18">
        <f>IFERROR(IF(ISNUMBER(G333),G333*VLOOKUP(F333,Costos!$A$4:$E$320,5,0),0),0)</f>
        <v/>
      </c>
      <c r="O333" s="16">
        <f>IF(K333&lt;&gt;"",K333-N333,"")</f>
        <v/>
      </c>
      <c r="P333" s="16">
        <f>IFERROR(VLOOKUP(F333,'LP MONCAR'!$A$4:$C$500,3,0),"")</f>
        <v/>
      </c>
      <c r="Q333" s="16">
        <f>IFERROR(VLOOKUP(H333,Clientes!$A$2:$H$400,2,0),"")</f>
        <v/>
      </c>
      <c r="R333" s="16">
        <f>IFERROR(VLOOKUP(H333,Clientes!$A$2:$H$400,3,0),"")</f>
        <v/>
      </c>
      <c r="S333" s="16">
        <f>IFERROR(VLOOKUP(H333,Clientes!$A$2:$H$400,4,0),"")</f>
        <v/>
      </c>
      <c r="T333" s="16">
        <f>IFERROR(VLOOKUP(H333,Clientes!$A$2:$H$400,5,0),"")</f>
        <v/>
      </c>
      <c r="U333" s="16">
        <f>IFERROR(VLOOKUP(F333,'LP MONCAR'!$A$4:$D$500,4,0),"")</f>
        <v/>
      </c>
    </row>
    <row r="334">
      <c r="A334" s="37" t="n"/>
      <c r="B334" s="16" t="n">
        <v>1301</v>
      </c>
      <c r="C334" s="16" t="inlineStr">
        <is>
          <t>Maxi</t>
        </is>
      </c>
      <c r="D334" s="17" t="n">
        <v>46150</v>
      </c>
      <c r="E334" s="16">
        <f>IFERROR(IF(LEFT(F334,2)="RM","RMH","MONCAR"),"")</f>
        <v/>
      </c>
      <c r="F334" s="16" t="inlineStr">
        <is>
          <t>CF 616</t>
        </is>
      </c>
      <c r="G334" s="16" t="n">
        <v>10</v>
      </c>
      <c r="H334" s="16" t="inlineStr">
        <is>
          <t>AYL MAQUINAS</t>
        </is>
      </c>
      <c r="I334" s="19" t="n"/>
      <c r="J334" s="18">
        <f>IF(TRIM(F334)="","",IF(LEFT(TRIM(F334),2)="RM",IFERROR(IF(D334&gt;=DATE(2026,4,1),INDEX('LP RMH'!$F:$F,MATCH(TRIM(F334),'LP RMH'!$A:$A,0)),INDEX('LP RMH'!$E:$E,MATCH(TRIM(F334),'LP RMH'!$A:$A,0))),0),IFERROR(INDEX('LP MONCAR'!$E:$E,MATCH(TRIM(F334),'LP MONCAR'!$A:$A,0)),0)))</f>
        <v/>
      </c>
      <c r="K334" s="18">
        <f>IF(AND(ISNUMBER(G334),ISNUMBER(J334),G334&gt;0,J334&gt;0),G334*J334,"")</f>
        <v/>
      </c>
      <c r="L334" s="16">
        <f>IF(D334&lt;&gt;"",TEXT(D334,"YYYY-MM"),"")</f>
        <v/>
      </c>
      <c r="M334" s="16" t="n"/>
      <c r="N334" s="18">
        <f>IFERROR(IF(ISNUMBER(G334),G334*VLOOKUP(F334,Costos!$A$4:$E$320,5,0),0),0)</f>
        <v/>
      </c>
      <c r="O334" s="16">
        <f>IF(K334&lt;&gt;"",K334-N334,"")</f>
        <v/>
      </c>
      <c r="P334" s="16">
        <f>IFERROR(VLOOKUP(F334,'LP MONCAR'!$A$4:$C$500,3,0),"")</f>
        <v/>
      </c>
      <c r="Q334" s="16">
        <f>IFERROR(VLOOKUP(H334,Clientes!$A$2:$H$400,2,0),"")</f>
        <v/>
      </c>
      <c r="R334" s="16">
        <f>IFERROR(VLOOKUP(H334,Clientes!$A$2:$H$400,3,0),"")</f>
        <v/>
      </c>
      <c r="S334" s="16">
        <f>IFERROR(VLOOKUP(H334,Clientes!$A$2:$H$400,4,0),"")</f>
        <v/>
      </c>
      <c r="T334" s="16">
        <f>IFERROR(VLOOKUP(H334,Clientes!$A$2:$H$400,5,0),"")</f>
        <v/>
      </c>
      <c r="U334" s="16">
        <f>IFERROR(VLOOKUP(F334,'LP MONCAR'!$A$4:$D$500,4,0),"")</f>
        <v/>
      </c>
    </row>
    <row r="335">
      <c r="A335" s="37" t="n"/>
      <c r="B335" s="16" t="n">
        <v>1301</v>
      </c>
      <c r="C335" s="16" t="inlineStr">
        <is>
          <t>Maxi</t>
        </is>
      </c>
      <c r="D335" s="17" t="n">
        <v>46150</v>
      </c>
      <c r="E335" s="16">
        <f>IFERROR(IF(LEFT(F335,2)="RM","RMH","MONCAR"),"")</f>
        <v/>
      </c>
      <c r="F335" s="16" t="inlineStr">
        <is>
          <t>CF 183</t>
        </is>
      </c>
      <c r="G335" s="16" t="n">
        <v>10</v>
      </c>
      <c r="H335" s="16" t="inlineStr">
        <is>
          <t>AYL MAQUINAS</t>
        </is>
      </c>
      <c r="I335" s="19" t="n"/>
      <c r="J335" s="18">
        <f>IF(TRIM(F335)="","",IF(LEFT(TRIM(F335),2)="RM",IFERROR(IF(D335&gt;=DATE(2026,4,1),INDEX('LP RMH'!$F:$F,MATCH(TRIM(F335),'LP RMH'!$A:$A,0)),INDEX('LP RMH'!$E:$E,MATCH(TRIM(F335),'LP RMH'!$A:$A,0))),0),IFERROR(INDEX('LP MONCAR'!$E:$E,MATCH(TRIM(F335),'LP MONCAR'!$A:$A,0)),0)))</f>
        <v/>
      </c>
      <c r="K335" s="18">
        <f>IF(AND(ISNUMBER(G335),ISNUMBER(J335),G335&gt;0,J335&gt;0),G335*J335,"")</f>
        <v/>
      </c>
      <c r="L335" s="16">
        <f>IF(D335&lt;&gt;"",TEXT(D335,"YYYY-MM"),"")</f>
        <v/>
      </c>
      <c r="M335" s="16" t="n"/>
      <c r="N335" s="18">
        <f>IFERROR(IF(ISNUMBER(G335),G335*VLOOKUP(F335,Costos!$A$4:$E$320,5,0),0),0)</f>
        <v/>
      </c>
      <c r="O335" s="16">
        <f>IF(K335&lt;&gt;"",K335-N335,"")</f>
        <v/>
      </c>
      <c r="P335" s="16">
        <f>IFERROR(VLOOKUP(F335,'LP MONCAR'!$A$4:$C$500,3,0),"")</f>
        <v/>
      </c>
      <c r="Q335" s="16">
        <f>IFERROR(VLOOKUP(H335,Clientes!$A$2:$H$400,2,0),"")</f>
        <v/>
      </c>
      <c r="R335" s="16">
        <f>IFERROR(VLOOKUP(H335,Clientes!$A$2:$H$400,3,0),"")</f>
        <v/>
      </c>
      <c r="S335" s="16">
        <f>IFERROR(VLOOKUP(H335,Clientes!$A$2:$H$400,4,0),"")</f>
        <v/>
      </c>
      <c r="T335" s="16">
        <f>IFERROR(VLOOKUP(H335,Clientes!$A$2:$H$400,5,0),"")</f>
        <v/>
      </c>
      <c r="U335" s="16">
        <f>IFERROR(VLOOKUP(F335,'LP MONCAR'!$A$4:$D$500,4,0),"")</f>
        <v/>
      </c>
    </row>
    <row r="336">
      <c r="A336" s="37" t="n"/>
      <c r="B336" s="16" t="n">
        <v>1301</v>
      </c>
      <c r="C336" s="16" t="inlineStr">
        <is>
          <t>Maxi</t>
        </is>
      </c>
      <c r="D336" s="17" t="n">
        <v>46150</v>
      </c>
      <c r="E336" s="16">
        <f>IFERROR(IF(LEFT(F336,2)="RM","RMH","MONCAR"),"")</f>
        <v/>
      </c>
      <c r="F336" s="16" t="inlineStr">
        <is>
          <t>CF 189</t>
        </is>
      </c>
      <c r="G336" s="16" t="n">
        <v>20</v>
      </c>
      <c r="H336" s="16" t="inlineStr">
        <is>
          <t>AYL MAQUINAS</t>
        </is>
      </c>
      <c r="I336" s="19" t="n"/>
      <c r="J336" s="18">
        <f>IF(TRIM(F336)="","",IF(LEFT(TRIM(F336),2)="RM",IFERROR(IF(D336&gt;=DATE(2026,4,1),INDEX('LP RMH'!$F:$F,MATCH(TRIM(F336),'LP RMH'!$A:$A,0)),INDEX('LP RMH'!$E:$E,MATCH(TRIM(F336),'LP RMH'!$A:$A,0))),0),IFERROR(INDEX('LP MONCAR'!$E:$E,MATCH(TRIM(F336),'LP MONCAR'!$A:$A,0)),0)))</f>
        <v/>
      </c>
      <c r="K336" s="18">
        <f>IF(AND(ISNUMBER(G336),ISNUMBER(J336),G336&gt;0,J336&gt;0),G336*J336,"")</f>
        <v/>
      </c>
      <c r="L336" s="16">
        <f>IF(D336&lt;&gt;"",TEXT(D336,"YYYY-MM"),"")</f>
        <v/>
      </c>
      <c r="M336" s="16" t="n"/>
      <c r="N336" s="18">
        <f>IFERROR(IF(ISNUMBER(G336),G336*VLOOKUP(F336,Costos!$A$4:$E$320,5,0),0),0)</f>
        <v/>
      </c>
      <c r="O336" s="16">
        <f>IF(K336&lt;&gt;"",K336-N336,"")</f>
        <v/>
      </c>
      <c r="P336" s="16">
        <f>IFERROR(VLOOKUP(F336,'LP MONCAR'!$A$4:$C$500,3,0),"")</f>
        <v/>
      </c>
      <c r="Q336" s="16">
        <f>IFERROR(VLOOKUP(H336,Clientes!$A$2:$H$400,2,0),"")</f>
        <v/>
      </c>
      <c r="R336" s="16">
        <f>IFERROR(VLOOKUP(H336,Clientes!$A$2:$H$400,3,0),"")</f>
        <v/>
      </c>
      <c r="S336" s="16">
        <f>IFERROR(VLOOKUP(H336,Clientes!$A$2:$H$400,4,0),"")</f>
        <v/>
      </c>
      <c r="T336" s="16">
        <f>IFERROR(VLOOKUP(H336,Clientes!$A$2:$H$400,5,0),"")</f>
        <v/>
      </c>
      <c r="U336" s="16">
        <f>IFERROR(VLOOKUP(F336,'LP MONCAR'!$A$4:$D$500,4,0),"")</f>
        <v/>
      </c>
    </row>
    <row r="337">
      <c r="A337" s="37" t="n"/>
      <c r="B337" s="16" t="n">
        <v>1301</v>
      </c>
      <c r="C337" s="16" t="inlineStr">
        <is>
          <t>Maxi</t>
        </is>
      </c>
      <c r="D337" s="17" t="n">
        <v>46150</v>
      </c>
      <c r="E337" s="16">
        <f>IFERROR(IF(LEFT(F337,2)="RM","RMH","MONCAR"),"")</f>
        <v/>
      </c>
      <c r="F337" s="16" t="inlineStr">
        <is>
          <t>CF 192</t>
        </is>
      </c>
      <c r="G337" s="16" t="n">
        <v>5</v>
      </c>
      <c r="H337" s="16" t="inlineStr">
        <is>
          <t>AYL MAQUINAS</t>
        </is>
      </c>
      <c r="I337" s="19" t="n"/>
      <c r="J337" s="18">
        <f>IF(TRIM(F337)="","",IF(LEFT(TRIM(F337),2)="RM",IFERROR(IF(D337&gt;=DATE(2026,4,1),INDEX('LP RMH'!$F:$F,MATCH(TRIM(F337),'LP RMH'!$A:$A,0)),INDEX('LP RMH'!$E:$E,MATCH(TRIM(F337),'LP RMH'!$A:$A,0))),0),IFERROR(INDEX('LP MONCAR'!$E:$E,MATCH(TRIM(F337),'LP MONCAR'!$A:$A,0)),0)))</f>
        <v/>
      </c>
      <c r="K337" s="18">
        <f>IF(AND(ISNUMBER(G337),ISNUMBER(J337),G337&gt;0,J337&gt;0),G337*J337,"")</f>
        <v/>
      </c>
      <c r="L337" s="16">
        <f>IF(D337&lt;&gt;"",TEXT(D337,"YYYY-MM"),"")</f>
        <v/>
      </c>
      <c r="M337" s="16" t="n"/>
      <c r="N337" s="18">
        <f>IFERROR(IF(ISNUMBER(G337),G337*VLOOKUP(F337,Costos!$A$4:$E$320,5,0),0),0)</f>
        <v/>
      </c>
      <c r="O337" s="16">
        <f>IF(K337&lt;&gt;"",K337-N337,"")</f>
        <v/>
      </c>
      <c r="P337" s="16">
        <f>IFERROR(VLOOKUP(F337,'LP MONCAR'!$A$4:$C$500,3,0),"")</f>
        <v/>
      </c>
      <c r="Q337" s="16">
        <f>IFERROR(VLOOKUP(H337,Clientes!$A$2:$H$400,2,0),"")</f>
        <v/>
      </c>
      <c r="R337" s="16">
        <f>IFERROR(VLOOKUP(H337,Clientes!$A$2:$H$400,3,0),"")</f>
        <v/>
      </c>
      <c r="S337" s="16">
        <f>IFERROR(VLOOKUP(H337,Clientes!$A$2:$H$400,4,0),"")</f>
        <v/>
      </c>
      <c r="T337" s="16">
        <f>IFERROR(VLOOKUP(H337,Clientes!$A$2:$H$400,5,0),"")</f>
        <v/>
      </c>
      <c r="U337" s="16">
        <f>IFERROR(VLOOKUP(F337,'LP MONCAR'!$A$4:$D$500,4,0),"")</f>
        <v/>
      </c>
    </row>
    <row r="338">
      <c r="A338" s="37" t="n"/>
      <c r="B338" s="16" t="n">
        <v>1301</v>
      </c>
      <c r="C338" s="16" t="inlineStr">
        <is>
          <t>Maxi</t>
        </is>
      </c>
      <c r="D338" s="17" t="n">
        <v>46150</v>
      </c>
      <c r="E338" s="16">
        <f>IFERROR(IF(LEFT(F338,2)="RM","RMH","MONCAR"),"")</f>
        <v/>
      </c>
      <c r="F338" s="16" t="inlineStr">
        <is>
          <t>CF 003</t>
        </is>
      </c>
      <c r="G338" s="16" t="n">
        <v>10</v>
      </c>
      <c r="H338" s="16" t="inlineStr">
        <is>
          <t>AYL MAQUINAS</t>
        </is>
      </c>
      <c r="I338" s="19" t="n"/>
      <c r="J338" s="18">
        <f>IF(TRIM(F338)="","",IF(LEFT(TRIM(F338),2)="RM",IFERROR(IF(D338&gt;=DATE(2026,4,1),INDEX('LP RMH'!$F:$F,MATCH(TRIM(F338),'LP RMH'!$A:$A,0)),INDEX('LP RMH'!$E:$E,MATCH(TRIM(F338),'LP RMH'!$A:$A,0))),0),IFERROR(INDEX('LP MONCAR'!$E:$E,MATCH(TRIM(F338),'LP MONCAR'!$A:$A,0)),0)))</f>
        <v/>
      </c>
      <c r="K338" s="18">
        <f>IF(AND(ISNUMBER(G338),ISNUMBER(J338),G338&gt;0,J338&gt;0),G338*J338,"")</f>
        <v/>
      </c>
      <c r="L338" s="16">
        <f>IF(D338&lt;&gt;"",TEXT(D338,"YYYY-MM"),"")</f>
        <v/>
      </c>
      <c r="M338" s="16" t="n"/>
      <c r="N338" s="18">
        <f>IFERROR(IF(ISNUMBER(G338),G338*VLOOKUP(F338,Costos!$A$4:$E$320,5,0),0),0)</f>
        <v/>
      </c>
      <c r="O338" s="16">
        <f>IF(K338&lt;&gt;"",K338-N338,"")</f>
        <v/>
      </c>
      <c r="P338" s="16">
        <f>IFERROR(VLOOKUP(F338,'LP MONCAR'!$A$4:$C$500,3,0),"")</f>
        <v/>
      </c>
      <c r="Q338" s="16">
        <f>IFERROR(VLOOKUP(H338,Clientes!$A$2:$H$400,2,0),"")</f>
        <v/>
      </c>
      <c r="R338" s="16">
        <f>IFERROR(VLOOKUP(H338,Clientes!$A$2:$H$400,3,0),"")</f>
        <v/>
      </c>
      <c r="S338" s="16">
        <f>IFERROR(VLOOKUP(H338,Clientes!$A$2:$H$400,4,0),"")</f>
        <v/>
      </c>
      <c r="T338" s="16">
        <f>IFERROR(VLOOKUP(H338,Clientes!$A$2:$H$400,5,0),"")</f>
        <v/>
      </c>
      <c r="U338" s="16">
        <f>IFERROR(VLOOKUP(F338,'LP MONCAR'!$A$4:$D$500,4,0),"")</f>
        <v/>
      </c>
    </row>
    <row r="339">
      <c r="A339" s="37" t="n"/>
      <c r="B339" s="16" t="n">
        <v>1301</v>
      </c>
      <c r="C339" s="16" t="inlineStr">
        <is>
          <t>Maxi</t>
        </is>
      </c>
      <c r="D339" s="17" t="n">
        <v>46150</v>
      </c>
      <c r="E339" s="16">
        <f>IFERROR(IF(LEFT(F339,2)="RM","RMH","MONCAR"),"")</f>
        <v/>
      </c>
      <c r="F339" s="16" t="inlineStr">
        <is>
          <t>CF 764</t>
        </is>
      </c>
      <c r="G339" s="16" t="n">
        <v>5</v>
      </c>
      <c r="H339" s="16" t="inlineStr">
        <is>
          <t>AYL MAQUINAS</t>
        </is>
      </c>
      <c r="I339" s="19" t="n"/>
      <c r="J339" s="18">
        <f>IF(TRIM(F339)="","",IF(LEFT(TRIM(F339),2)="RM",IFERROR(IF(D339&gt;=DATE(2026,4,1),INDEX('LP RMH'!$F:$F,MATCH(TRIM(F339),'LP RMH'!$A:$A,0)),INDEX('LP RMH'!$E:$E,MATCH(TRIM(F339),'LP RMH'!$A:$A,0))),0),IFERROR(INDEX('LP MONCAR'!$E:$E,MATCH(TRIM(F339),'LP MONCAR'!$A:$A,0)),0)))</f>
        <v/>
      </c>
      <c r="K339" s="18">
        <f>IF(AND(ISNUMBER(G339),ISNUMBER(J339),G339&gt;0,J339&gt;0),G339*J339,"")</f>
        <v/>
      </c>
      <c r="L339" s="16">
        <f>IF(D339&lt;&gt;"",TEXT(D339,"YYYY-MM"),"")</f>
        <v/>
      </c>
      <c r="M339" s="16" t="n"/>
      <c r="N339" s="18">
        <f>IFERROR(IF(ISNUMBER(G339),G339*VLOOKUP(F339,Costos!$A$4:$E$320,5,0),0),0)</f>
        <v/>
      </c>
      <c r="O339" s="16">
        <f>IF(K339&lt;&gt;"",K339-N339,"")</f>
        <v/>
      </c>
      <c r="P339" s="16">
        <f>IFERROR(VLOOKUP(F339,'LP MONCAR'!$A$4:$C$500,3,0),"")</f>
        <v/>
      </c>
      <c r="Q339" s="16">
        <f>IFERROR(VLOOKUP(H339,Clientes!$A$2:$H$400,2,0),"")</f>
        <v/>
      </c>
      <c r="R339" s="16">
        <f>IFERROR(VLOOKUP(H339,Clientes!$A$2:$H$400,3,0),"")</f>
        <v/>
      </c>
      <c r="S339" s="16">
        <f>IFERROR(VLOOKUP(H339,Clientes!$A$2:$H$400,4,0),"")</f>
        <v/>
      </c>
      <c r="T339" s="16">
        <f>IFERROR(VLOOKUP(H339,Clientes!$A$2:$H$400,5,0),"")</f>
        <v/>
      </c>
      <c r="U339" s="16">
        <f>IFERROR(VLOOKUP(F339,'LP MONCAR'!$A$4:$D$500,4,0),"")</f>
        <v/>
      </c>
    </row>
    <row r="340">
      <c r="A340" s="37" t="n"/>
      <c r="B340" s="16" t="n">
        <v>1301</v>
      </c>
      <c r="C340" s="16" t="inlineStr">
        <is>
          <t>Maxi</t>
        </is>
      </c>
      <c r="D340" s="17" t="n">
        <v>46150</v>
      </c>
      <c r="E340" s="16">
        <f>IFERROR(IF(LEFT(F340,2)="RM","RMH","MONCAR"),"")</f>
        <v/>
      </c>
      <c r="F340" s="16" t="inlineStr">
        <is>
          <t>CF 040</t>
        </is>
      </c>
      <c r="G340" s="16" t="n">
        <v>10</v>
      </c>
      <c r="H340" s="16" t="inlineStr">
        <is>
          <t>AYL MAQUINAS</t>
        </is>
      </c>
      <c r="I340" s="19" t="n"/>
      <c r="J340" s="18">
        <f>IF(TRIM(F340)="","",IF(LEFT(TRIM(F340),2)="RM",IFERROR(IF(D340&gt;=DATE(2026,4,1),INDEX('LP RMH'!$F:$F,MATCH(TRIM(F340),'LP RMH'!$A:$A,0)),INDEX('LP RMH'!$E:$E,MATCH(TRIM(F340),'LP RMH'!$A:$A,0))),0),IFERROR(INDEX('LP MONCAR'!$E:$E,MATCH(TRIM(F340),'LP MONCAR'!$A:$A,0)),0)))</f>
        <v/>
      </c>
      <c r="K340" s="18">
        <f>IF(AND(ISNUMBER(G340),ISNUMBER(J340),G340&gt;0,J340&gt;0),G340*J340,"")</f>
        <v/>
      </c>
      <c r="L340" s="16">
        <f>IF(D340&lt;&gt;"",TEXT(D340,"YYYY-MM"),"")</f>
        <v/>
      </c>
      <c r="M340" s="16" t="n"/>
      <c r="N340" s="18">
        <f>IFERROR(IF(ISNUMBER(G340),G340*VLOOKUP(F340,Costos!$A$4:$E$320,5,0),0),0)</f>
        <v/>
      </c>
      <c r="O340" s="16">
        <f>IF(K340&lt;&gt;"",K340-N340,"")</f>
        <v/>
      </c>
      <c r="P340" s="16">
        <f>IFERROR(VLOOKUP(F340,'LP MONCAR'!$A$4:$C$500,3,0),"")</f>
        <v/>
      </c>
      <c r="Q340" s="16">
        <f>IFERROR(VLOOKUP(H340,Clientes!$A$2:$H$400,2,0),"")</f>
        <v/>
      </c>
      <c r="R340" s="16">
        <f>IFERROR(VLOOKUP(H340,Clientes!$A$2:$H$400,3,0),"")</f>
        <v/>
      </c>
      <c r="S340" s="16">
        <f>IFERROR(VLOOKUP(H340,Clientes!$A$2:$H$400,4,0),"")</f>
        <v/>
      </c>
      <c r="T340" s="16">
        <f>IFERROR(VLOOKUP(H340,Clientes!$A$2:$H$400,5,0),"")</f>
        <v/>
      </c>
      <c r="U340" s="16">
        <f>IFERROR(VLOOKUP(F340,'LP MONCAR'!$A$4:$D$500,4,0),"")</f>
        <v/>
      </c>
    </row>
    <row r="341">
      <c r="A341" s="37" t="n"/>
      <c r="B341" s="16" t="n">
        <v>1301</v>
      </c>
      <c r="C341" s="16" t="inlineStr">
        <is>
          <t>Maxi</t>
        </is>
      </c>
      <c r="D341" s="17" t="n">
        <v>46150</v>
      </c>
      <c r="E341" s="16">
        <f>IFERROR(IF(LEFT(F341,2)="RM","RMH","MONCAR"),"")</f>
        <v/>
      </c>
      <c r="F341" s="16" t="inlineStr">
        <is>
          <t>CF 042</t>
        </is>
      </c>
      <c r="G341" s="16" t="n">
        <v>10</v>
      </c>
      <c r="H341" s="16" t="inlineStr">
        <is>
          <t>AYL MAQUINAS</t>
        </is>
      </c>
      <c r="I341" s="19" t="n"/>
      <c r="J341" s="18">
        <f>IF(TRIM(F341)="","",IF(LEFT(TRIM(F341),2)="RM",IFERROR(IF(D341&gt;=DATE(2026,4,1),INDEX('LP RMH'!$F:$F,MATCH(TRIM(F341),'LP RMH'!$A:$A,0)),INDEX('LP RMH'!$E:$E,MATCH(TRIM(F341),'LP RMH'!$A:$A,0))),0),IFERROR(INDEX('LP MONCAR'!$E:$E,MATCH(TRIM(F341),'LP MONCAR'!$A:$A,0)),0)))</f>
        <v/>
      </c>
      <c r="K341" s="18">
        <f>IF(AND(ISNUMBER(G341),ISNUMBER(J341),G341&gt;0,J341&gt;0),G341*J341,"")</f>
        <v/>
      </c>
      <c r="L341" s="16">
        <f>IF(D341&lt;&gt;"",TEXT(D341,"YYYY-MM"),"")</f>
        <v/>
      </c>
      <c r="M341" s="16" t="n"/>
      <c r="N341" s="18">
        <f>IFERROR(IF(ISNUMBER(G341),G341*VLOOKUP(F341,Costos!$A$4:$E$320,5,0),0),0)</f>
        <v/>
      </c>
      <c r="O341" s="16">
        <f>IF(K341&lt;&gt;"",K341-N341,"")</f>
        <v/>
      </c>
      <c r="P341" s="16">
        <f>IFERROR(VLOOKUP(F341,'LP MONCAR'!$A$4:$C$500,3,0),"")</f>
        <v/>
      </c>
      <c r="Q341" s="16">
        <f>IFERROR(VLOOKUP(H341,Clientes!$A$2:$H$400,2,0),"")</f>
        <v/>
      </c>
      <c r="R341" s="16">
        <f>IFERROR(VLOOKUP(H341,Clientes!$A$2:$H$400,3,0),"")</f>
        <v/>
      </c>
      <c r="S341" s="16">
        <f>IFERROR(VLOOKUP(H341,Clientes!$A$2:$H$400,4,0),"")</f>
        <v/>
      </c>
      <c r="T341" s="16">
        <f>IFERROR(VLOOKUP(H341,Clientes!$A$2:$H$400,5,0),"")</f>
        <v/>
      </c>
      <c r="U341" s="16">
        <f>IFERROR(VLOOKUP(F341,'LP MONCAR'!$A$4:$D$500,4,0),"")</f>
        <v/>
      </c>
    </row>
    <row r="342">
      <c r="A342" s="37" t="n"/>
      <c r="B342" s="16" t="n">
        <v>1301</v>
      </c>
      <c r="C342" s="16" t="inlineStr">
        <is>
          <t>Maxi</t>
        </is>
      </c>
      <c r="D342" s="17" t="n">
        <v>46150</v>
      </c>
      <c r="E342" s="16">
        <f>IFERROR(IF(LEFT(F342,2)="RM","RMH","MONCAR"),"")</f>
        <v/>
      </c>
      <c r="F342" s="16" t="inlineStr">
        <is>
          <t>CF 056</t>
        </is>
      </c>
      <c r="G342" s="16" t="n">
        <v>15</v>
      </c>
      <c r="H342" s="16" t="inlineStr">
        <is>
          <t>AYL MAQUINAS</t>
        </is>
      </c>
      <c r="I342" s="19" t="n"/>
      <c r="J342" s="18">
        <f>IF(TRIM(F342)="","",IF(LEFT(TRIM(F342),2)="RM",IFERROR(IF(D342&gt;=DATE(2026,4,1),INDEX('LP RMH'!$F:$F,MATCH(TRIM(F342),'LP RMH'!$A:$A,0)),INDEX('LP RMH'!$E:$E,MATCH(TRIM(F342),'LP RMH'!$A:$A,0))),0),IFERROR(INDEX('LP MONCAR'!$E:$E,MATCH(TRIM(F342),'LP MONCAR'!$A:$A,0)),0)))</f>
        <v/>
      </c>
      <c r="K342" s="18">
        <f>IF(AND(ISNUMBER(G342),ISNUMBER(J342),G342&gt;0,J342&gt;0),G342*J342,"")</f>
        <v/>
      </c>
      <c r="L342" s="16">
        <f>IF(D342&lt;&gt;"",TEXT(D342,"YYYY-MM"),"")</f>
        <v/>
      </c>
      <c r="M342" s="16" t="n"/>
      <c r="N342" s="18">
        <f>IFERROR(IF(ISNUMBER(G342),G342*VLOOKUP(F342,Costos!$A$4:$E$320,5,0),0),0)</f>
        <v/>
      </c>
      <c r="O342" s="16">
        <f>IF(K342&lt;&gt;"",K342-N342,"")</f>
        <v/>
      </c>
      <c r="P342" s="16">
        <f>IFERROR(VLOOKUP(F342,'LP MONCAR'!$A$4:$C$500,3,0),"")</f>
        <v/>
      </c>
      <c r="Q342" s="16">
        <f>IFERROR(VLOOKUP(H342,Clientes!$A$2:$H$400,2,0),"")</f>
        <v/>
      </c>
      <c r="R342" s="16">
        <f>IFERROR(VLOOKUP(H342,Clientes!$A$2:$H$400,3,0),"")</f>
        <v/>
      </c>
      <c r="S342" s="16">
        <f>IFERROR(VLOOKUP(H342,Clientes!$A$2:$H$400,4,0),"")</f>
        <v/>
      </c>
      <c r="T342" s="16">
        <f>IFERROR(VLOOKUP(H342,Clientes!$A$2:$H$400,5,0),"")</f>
        <v/>
      </c>
      <c r="U342" s="16">
        <f>IFERROR(VLOOKUP(F342,'LP MONCAR'!$A$4:$D$500,4,0),"")</f>
        <v/>
      </c>
    </row>
    <row r="343">
      <c r="A343" s="37" t="n"/>
      <c r="B343" s="16" t="n">
        <v>1301</v>
      </c>
      <c r="C343" s="16" t="inlineStr">
        <is>
          <t>Maxi</t>
        </is>
      </c>
      <c r="D343" s="17" t="n">
        <v>46150</v>
      </c>
      <c r="E343" s="16">
        <f>IFERROR(IF(LEFT(F343,2)="RM","RMH","MONCAR"),"")</f>
        <v/>
      </c>
      <c r="F343" s="16" t="inlineStr">
        <is>
          <t>CF 552</t>
        </is>
      </c>
      <c r="G343" s="16" t="n">
        <v>15</v>
      </c>
      <c r="H343" s="16" t="inlineStr">
        <is>
          <t>AYL MAQUINAS</t>
        </is>
      </c>
      <c r="I343" s="19" t="n"/>
      <c r="J343" s="18">
        <f>IF(TRIM(F343)="","",IF(LEFT(TRIM(F343),2)="RM",IFERROR(IF(D343&gt;=DATE(2026,4,1),INDEX('LP RMH'!$F:$F,MATCH(TRIM(F343),'LP RMH'!$A:$A,0)),INDEX('LP RMH'!$E:$E,MATCH(TRIM(F343),'LP RMH'!$A:$A,0))),0),IFERROR(INDEX('LP MONCAR'!$E:$E,MATCH(TRIM(F343),'LP MONCAR'!$A:$A,0)),0)))</f>
        <v/>
      </c>
      <c r="K343" s="18">
        <f>IF(AND(ISNUMBER(G343),ISNUMBER(J343),G343&gt;0,J343&gt;0),G343*J343,"")</f>
        <v/>
      </c>
      <c r="L343" s="16">
        <f>IF(D343&lt;&gt;"",TEXT(D343,"YYYY-MM"),"")</f>
        <v/>
      </c>
      <c r="M343" s="16" t="n"/>
      <c r="N343" s="18">
        <f>IFERROR(IF(ISNUMBER(G343),G343*VLOOKUP(F343,Costos!$A$4:$E$320,5,0),0),0)</f>
        <v/>
      </c>
      <c r="O343" s="16">
        <f>IF(K343&lt;&gt;"",K343-N343,"")</f>
        <v/>
      </c>
      <c r="P343" s="16">
        <f>IFERROR(VLOOKUP(F343,'LP MONCAR'!$A$4:$C$500,3,0),"")</f>
        <v/>
      </c>
      <c r="Q343" s="16">
        <f>IFERROR(VLOOKUP(H343,Clientes!$A$2:$H$400,2,0),"")</f>
        <v/>
      </c>
      <c r="R343" s="16">
        <f>IFERROR(VLOOKUP(H343,Clientes!$A$2:$H$400,3,0),"")</f>
        <v/>
      </c>
      <c r="S343" s="16">
        <f>IFERROR(VLOOKUP(H343,Clientes!$A$2:$H$400,4,0),"")</f>
        <v/>
      </c>
      <c r="T343" s="16">
        <f>IFERROR(VLOOKUP(H343,Clientes!$A$2:$H$400,5,0),"")</f>
        <v/>
      </c>
      <c r="U343" s="16">
        <f>IFERROR(VLOOKUP(F343,'LP MONCAR'!$A$4:$D$500,4,0),"")</f>
        <v/>
      </c>
    </row>
    <row r="344">
      <c r="A344" s="37" t="n"/>
      <c r="B344" s="16" t="n">
        <v>1301</v>
      </c>
      <c r="C344" s="16" t="inlineStr">
        <is>
          <t>Maxi</t>
        </is>
      </c>
      <c r="D344" s="17" t="n">
        <v>46150</v>
      </c>
      <c r="E344" s="16">
        <f>IFERROR(IF(LEFT(F344,2)="RM","RMH","MONCAR"),"")</f>
        <v/>
      </c>
      <c r="F344" s="16" t="inlineStr">
        <is>
          <t>CF 401</t>
        </is>
      </c>
      <c r="G344" s="16" t="n">
        <v>10</v>
      </c>
      <c r="H344" s="16" t="inlineStr">
        <is>
          <t>AYL MAQUINAS</t>
        </is>
      </c>
      <c r="I344" s="19" t="n"/>
      <c r="J344" s="18">
        <f>IF(TRIM(F344)="","",IF(LEFT(TRIM(F344),2)="RM",IFERROR(IF(D344&gt;=DATE(2026,4,1),INDEX('LP RMH'!$F:$F,MATCH(TRIM(F344),'LP RMH'!$A:$A,0)),INDEX('LP RMH'!$E:$E,MATCH(TRIM(F344),'LP RMH'!$A:$A,0))),0),IFERROR(INDEX('LP MONCAR'!$E:$E,MATCH(TRIM(F344),'LP MONCAR'!$A:$A,0)),0)))</f>
        <v/>
      </c>
      <c r="K344" s="18">
        <f>IF(AND(ISNUMBER(G344),ISNUMBER(J344),G344&gt;0,J344&gt;0),G344*J344,"")</f>
        <v/>
      </c>
      <c r="L344" s="16">
        <f>IF(D344&lt;&gt;"",TEXT(D344,"YYYY-MM"),"")</f>
        <v/>
      </c>
      <c r="M344" s="16" t="n"/>
      <c r="N344" s="18">
        <f>IFERROR(IF(ISNUMBER(G344),G344*VLOOKUP(F344,Costos!$A$4:$E$320,5,0),0),0)</f>
        <v/>
      </c>
      <c r="O344" s="16">
        <f>IF(K344&lt;&gt;"",K344-N344,"")</f>
        <v/>
      </c>
      <c r="P344" s="16">
        <f>IFERROR(VLOOKUP(F344,'LP MONCAR'!$A$4:$C$500,3,0),"")</f>
        <v/>
      </c>
      <c r="Q344" s="16">
        <f>IFERROR(VLOOKUP(H344,Clientes!$A$2:$H$400,2,0),"")</f>
        <v/>
      </c>
      <c r="R344" s="16">
        <f>IFERROR(VLOOKUP(H344,Clientes!$A$2:$H$400,3,0),"")</f>
        <v/>
      </c>
      <c r="S344" s="16">
        <f>IFERROR(VLOOKUP(H344,Clientes!$A$2:$H$400,4,0),"")</f>
        <v/>
      </c>
      <c r="T344" s="16">
        <f>IFERROR(VLOOKUP(H344,Clientes!$A$2:$H$400,5,0),"")</f>
        <v/>
      </c>
      <c r="U344" s="16">
        <f>IFERROR(VLOOKUP(F344,'LP MONCAR'!$A$4:$D$500,4,0),"")</f>
        <v/>
      </c>
    </row>
    <row r="345">
      <c r="A345" s="37" t="n"/>
      <c r="B345" s="16" t="n">
        <v>1751</v>
      </c>
      <c r="C345" s="16" t="inlineStr">
        <is>
          <t>Maxi</t>
        </is>
      </c>
      <c r="D345" s="17" t="n">
        <v>46000</v>
      </c>
      <c r="E345" s="16">
        <f>IFERROR(IF(LEFT(F345,2)="RM","RMH","MONCAR"),"")</f>
        <v/>
      </c>
      <c r="F345" s="16" t="inlineStr">
        <is>
          <t>RM 035</t>
        </is>
      </c>
      <c r="G345" s="16" t="n">
        <v>5</v>
      </c>
      <c r="H345" s="16" t="inlineStr">
        <is>
          <t>ELECTRO SERVICE</t>
        </is>
      </c>
      <c r="I345" s="19" t="n"/>
      <c r="J345" s="18">
        <f>IF(TRIM(F345)="","",IF(LEFT(TRIM(F345),2)="RM",IFERROR(IF(D345&gt;=DATE(2026,4,1),INDEX('LP RMH'!$F:$F,MATCH(TRIM(F345),'LP RMH'!$A:$A,0)),INDEX('LP RMH'!$E:$E,MATCH(TRIM(F345),'LP RMH'!$A:$A,0))),0),IFERROR(INDEX('LP MONCAR'!$E:$E,MATCH(TRIM(F345),'LP MONCAR'!$A:$A,0)),0)))</f>
        <v/>
      </c>
      <c r="K345" s="18">
        <f>IF(AND(ISNUMBER(G345),ISNUMBER(J345),G345&gt;0,J345&gt;0),G345*J345,"")</f>
        <v/>
      </c>
      <c r="L345" s="16">
        <f>IF(D345&lt;&gt;"",TEXT(D345,"YYYY-MM"),"")</f>
        <v/>
      </c>
      <c r="M345" s="16" t="n"/>
      <c r="N345" s="18">
        <f>IFERROR(IF(ISNUMBER(G345),G345*VLOOKUP(F345,Costos!$A$4:$E$320,5,0),0),0)</f>
        <v/>
      </c>
      <c r="O345" s="16">
        <f>IF(K345&lt;&gt;"",K345-N345,"")</f>
        <v/>
      </c>
      <c r="P345" s="16">
        <f>IFERROR(VLOOKUP(F345,'LP MONCAR'!$A$4:$C$500,3,0),"")</f>
        <v/>
      </c>
      <c r="Q345" s="16">
        <f>IFERROR(VLOOKUP(H345,Clientes!$A$2:$H$400,2,0),"")</f>
        <v/>
      </c>
      <c r="R345" s="16">
        <f>IFERROR(VLOOKUP(H345,Clientes!$A$2:$H$400,3,0),"")</f>
        <v/>
      </c>
      <c r="S345" s="16">
        <f>IFERROR(VLOOKUP(H345,Clientes!$A$2:$H$400,4,0),"")</f>
        <v/>
      </c>
      <c r="T345" s="16">
        <f>IFERROR(VLOOKUP(H345,Clientes!$A$2:$H$400,5,0),"")</f>
        <v/>
      </c>
      <c r="U345" s="16">
        <f>IFERROR(VLOOKUP(F345,'LP MONCAR'!$A$4:$D$500,4,0),"")</f>
        <v/>
      </c>
    </row>
    <row r="346">
      <c r="A346" s="37" t="n"/>
      <c r="B346" s="16" t="n">
        <v>1752</v>
      </c>
      <c r="C346" s="16" t="inlineStr">
        <is>
          <t>Maxi</t>
        </is>
      </c>
      <c r="D346" s="17" t="n">
        <v>46006</v>
      </c>
      <c r="E346" s="16">
        <f>IFERROR(IF(LEFT(F346,2)="RM","RMH","MONCAR"),"")</f>
        <v/>
      </c>
      <c r="F346" s="16" t="inlineStr">
        <is>
          <t>RM 032</t>
        </is>
      </c>
      <c r="G346" s="16" t="n">
        <v>2</v>
      </c>
      <c r="H346" s="16" t="inlineStr">
        <is>
          <t>BURGOS</t>
        </is>
      </c>
      <c r="I346" s="19" t="n"/>
      <c r="J346" s="18">
        <f>IF(TRIM(F346)="","",IF(LEFT(TRIM(F346),2)="RM",IFERROR(IF(D346&gt;=DATE(2026,4,1),INDEX('LP RMH'!$F:$F,MATCH(TRIM(F346),'LP RMH'!$A:$A,0)),INDEX('LP RMH'!$E:$E,MATCH(TRIM(F346),'LP RMH'!$A:$A,0))),0),IFERROR(INDEX('LP MONCAR'!$E:$E,MATCH(TRIM(F346),'LP MONCAR'!$A:$A,0)),0)))</f>
        <v/>
      </c>
      <c r="K346" s="18">
        <f>IF(AND(ISNUMBER(G346),ISNUMBER(J346),G346&gt;0,J346&gt;0),G346*J346,"")</f>
        <v/>
      </c>
      <c r="L346" s="16">
        <f>IF(D346&lt;&gt;"",TEXT(D346,"YYYY-MM"),"")</f>
        <v/>
      </c>
      <c r="M346" s="16" t="n"/>
      <c r="N346" s="18">
        <f>IFERROR(IF(ISNUMBER(G346),G346*VLOOKUP(F346,Costos!$A$4:$E$320,5,0),0),0)</f>
        <v/>
      </c>
      <c r="O346" s="16">
        <f>IF(K346&lt;&gt;"",K346-N346,"")</f>
        <v/>
      </c>
      <c r="P346" s="16">
        <f>IFERROR(VLOOKUP(F346,'LP MONCAR'!$A$4:$C$500,3,0),"")</f>
        <v/>
      </c>
      <c r="Q346" s="16">
        <f>IFERROR(VLOOKUP(H346,Clientes!$A$2:$H$400,2,0),"")</f>
        <v/>
      </c>
      <c r="R346" s="16">
        <f>IFERROR(VLOOKUP(H346,Clientes!$A$2:$H$400,3,0),"")</f>
        <v/>
      </c>
      <c r="S346" s="16">
        <f>IFERROR(VLOOKUP(H346,Clientes!$A$2:$H$400,4,0),"")</f>
        <v/>
      </c>
      <c r="T346" s="16">
        <f>IFERROR(VLOOKUP(H346,Clientes!$A$2:$H$400,5,0),"")</f>
        <v/>
      </c>
      <c r="U346" s="16">
        <f>IFERROR(VLOOKUP(F346,'LP MONCAR'!$A$4:$D$500,4,0),"")</f>
        <v/>
      </c>
    </row>
    <row r="347">
      <c r="A347" s="37" t="n"/>
      <c r="B347" s="16" t="n">
        <v>1752</v>
      </c>
      <c r="C347" s="16" t="inlineStr">
        <is>
          <t>Maxi</t>
        </is>
      </c>
      <c r="D347" s="17" t="n">
        <v>46006</v>
      </c>
      <c r="E347" s="16">
        <f>IFERROR(IF(LEFT(F347,2)="RM","RMH","MONCAR"),"")</f>
        <v/>
      </c>
      <c r="F347" s="16" t="inlineStr">
        <is>
          <t>RM 036</t>
        </is>
      </c>
      <c r="G347" s="16" t="n">
        <v>1</v>
      </c>
      <c r="H347" s="16" t="inlineStr">
        <is>
          <t>BURGOS</t>
        </is>
      </c>
      <c r="I347" s="19" t="n"/>
      <c r="J347" s="18">
        <f>IF(TRIM(F347)="","",IF(LEFT(TRIM(F347),2)="RM",IFERROR(IF(D347&gt;=DATE(2026,4,1),INDEX('LP RMH'!$F:$F,MATCH(TRIM(F347),'LP RMH'!$A:$A,0)),INDEX('LP RMH'!$E:$E,MATCH(TRIM(F347),'LP RMH'!$A:$A,0))),0),IFERROR(INDEX('LP MONCAR'!$E:$E,MATCH(TRIM(F347),'LP MONCAR'!$A:$A,0)),0)))</f>
        <v/>
      </c>
      <c r="K347" s="18">
        <f>IF(AND(ISNUMBER(G347),ISNUMBER(J347),G347&gt;0,J347&gt;0),G347*J347,"")</f>
        <v/>
      </c>
      <c r="L347" s="16">
        <f>IF(D347&lt;&gt;"",TEXT(D347,"YYYY-MM"),"")</f>
        <v/>
      </c>
      <c r="M347" s="16" t="n"/>
      <c r="N347" s="18">
        <f>IFERROR(IF(ISNUMBER(G347),G347*VLOOKUP(F347,Costos!$A$4:$E$320,5,0),0),0)</f>
        <v/>
      </c>
      <c r="O347" s="16">
        <f>IF(K347&lt;&gt;"",K347-N347,"")</f>
        <v/>
      </c>
      <c r="P347" s="16">
        <f>IFERROR(VLOOKUP(F347,'LP MONCAR'!$A$4:$C$500,3,0),"")</f>
        <v/>
      </c>
      <c r="Q347" s="16">
        <f>IFERROR(VLOOKUP(H347,Clientes!$A$2:$H$400,2,0),"")</f>
        <v/>
      </c>
      <c r="R347" s="16">
        <f>IFERROR(VLOOKUP(H347,Clientes!$A$2:$H$400,3,0),"")</f>
        <v/>
      </c>
      <c r="S347" s="16">
        <f>IFERROR(VLOOKUP(H347,Clientes!$A$2:$H$400,4,0),"")</f>
        <v/>
      </c>
      <c r="T347" s="16">
        <f>IFERROR(VLOOKUP(H347,Clientes!$A$2:$H$400,5,0),"")</f>
        <v/>
      </c>
      <c r="U347" s="16">
        <f>IFERROR(VLOOKUP(F347,'LP MONCAR'!$A$4:$D$500,4,0),"")</f>
        <v/>
      </c>
    </row>
    <row r="348">
      <c r="A348" s="37" t="n"/>
      <c r="B348" s="16" t="n">
        <v>1752</v>
      </c>
      <c r="C348" s="16" t="inlineStr">
        <is>
          <t>Maxi</t>
        </is>
      </c>
      <c r="D348" s="17" t="n">
        <v>46006</v>
      </c>
      <c r="E348" s="16">
        <f>IFERROR(IF(LEFT(F348,2)="RM","RMH","MONCAR"),"")</f>
        <v/>
      </c>
      <c r="F348" s="16" t="inlineStr">
        <is>
          <t>RM 102</t>
        </is>
      </c>
      <c r="G348" s="16" t="n">
        <v>1</v>
      </c>
      <c r="H348" s="16" t="inlineStr">
        <is>
          <t>BURGOS</t>
        </is>
      </c>
      <c r="I348" s="19" t="n"/>
      <c r="J348" s="18">
        <f>IF(TRIM(F348)="","",IF(LEFT(TRIM(F348),2)="RM",IFERROR(IF(D348&gt;=DATE(2026,4,1),INDEX('LP RMH'!$F:$F,MATCH(TRIM(F348),'LP RMH'!$A:$A,0)),INDEX('LP RMH'!$E:$E,MATCH(TRIM(F348),'LP RMH'!$A:$A,0))),0),IFERROR(INDEX('LP MONCAR'!$E:$E,MATCH(TRIM(F348),'LP MONCAR'!$A:$A,0)),0)))</f>
        <v/>
      </c>
      <c r="K348" s="18">
        <f>IF(AND(ISNUMBER(G348),ISNUMBER(J348),G348&gt;0,J348&gt;0),G348*J348,"")</f>
        <v/>
      </c>
      <c r="L348" s="16">
        <f>IF(D348&lt;&gt;"",TEXT(D348,"YYYY-MM"),"")</f>
        <v/>
      </c>
      <c r="M348" s="16" t="n"/>
      <c r="N348" s="18">
        <f>IFERROR(IF(ISNUMBER(G348),G348*VLOOKUP(F348,Costos!$A$4:$E$320,5,0),0),0)</f>
        <v/>
      </c>
      <c r="O348" s="16">
        <f>IF(K348&lt;&gt;"",K348-N348,"")</f>
        <v/>
      </c>
      <c r="P348" s="16">
        <f>IFERROR(VLOOKUP(F348,'LP MONCAR'!$A$4:$C$500,3,0),"")</f>
        <v/>
      </c>
      <c r="Q348" s="16">
        <f>IFERROR(VLOOKUP(H348,Clientes!$A$2:$H$400,2,0),"")</f>
        <v/>
      </c>
      <c r="R348" s="16">
        <f>IFERROR(VLOOKUP(H348,Clientes!$A$2:$H$400,3,0),"")</f>
        <v/>
      </c>
      <c r="S348" s="16">
        <f>IFERROR(VLOOKUP(H348,Clientes!$A$2:$H$400,4,0),"")</f>
        <v/>
      </c>
      <c r="T348" s="16">
        <f>IFERROR(VLOOKUP(H348,Clientes!$A$2:$H$400,5,0),"")</f>
        <v/>
      </c>
      <c r="U348" s="16">
        <f>IFERROR(VLOOKUP(F348,'LP MONCAR'!$A$4:$D$500,4,0),"")</f>
        <v/>
      </c>
    </row>
    <row r="349">
      <c r="A349" s="37" t="n"/>
      <c r="B349" s="16" t="n">
        <v>1752</v>
      </c>
      <c r="C349" s="16" t="inlineStr">
        <is>
          <t>Maxi</t>
        </is>
      </c>
      <c r="D349" s="17" t="n">
        <v>46006</v>
      </c>
      <c r="E349" s="16">
        <f>IFERROR(IF(LEFT(F349,2)="RM","RMH","MONCAR"),"")</f>
        <v/>
      </c>
      <c r="F349" s="16" t="inlineStr">
        <is>
          <t>RM 416</t>
        </is>
      </c>
      <c r="G349" s="16" t="n">
        <v>3</v>
      </c>
      <c r="H349" s="16" t="inlineStr">
        <is>
          <t>BURGOS</t>
        </is>
      </c>
      <c r="I349" s="19" t="n"/>
      <c r="J349" s="18">
        <f>IF(TRIM(F349)="","",IF(LEFT(TRIM(F349),2)="RM",IFERROR(IF(D349&gt;=DATE(2026,4,1),INDEX('LP RMH'!$F:$F,MATCH(TRIM(F349),'LP RMH'!$A:$A,0)),INDEX('LP RMH'!$E:$E,MATCH(TRIM(F349),'LP RMH'!$A:$A,0))),0),IFERROR(INDEX('LP MONCAR'!$E:$E,MATCH(TRIM(F349),'LP MONCAR'!$A:$A,0)),0)))</f>
        <v/>
      </c>
      <c r="K349" s="18">
        <f>IF(AND(ISNUMBER(G349),ISNUMBER(J349),G349&gt;0,J349&gt;0),G349*J349,"")</f>
        <v/>
      </c>
      <c r="L349" s="16">
        <f>IF(D349&lt;&gt;"",TEXT(D349,"YYYY-MM"),"")</f>
        <v/>
      </c>
      <c r="M349" s="16" t="n"/>
      <c r="N349" s="18">
        <f>IFERROR(IF(ISNUMBER(G349),G349*VLOOKUP(F349,Costos!$A$4:$E$320,5,0),0),0)</f>
        <v/>
      </c>
      <c r="O349" s="16">
        <f>IF(K349&lt;&gt;"",K349-N349,"")</f>
        <v/>
      </c>
      <c r="P349" s="16">
        <f>IFERROR(VLOOKUP(F349,'LP MONCAR'!$A$4:$C$500,3,0),"")</f>
        <v/>
      </c>
      <c r="Q349" s="16">
        <f>IFERROR(VLOOKUP(H349,Clientes!$A$2:$H$400,2,0),"")</f>
        <v/>
      </c>
      <c r="R349" s="16">
        <f>IFERROR(VLOOKUP(H349,Clientes!$A$2:$H$400,3,0),"")</f>
        <v/>
      </c>
      <c r="S349" s="16">
        <f>IFERROR(VLOOKUP(H349,Clientes!$A$2:$H$400,4,0),"")</f>
        <v/>
      </c>
      <c r="T349" s="16">
        <f>IFERROR(VLOOKUP(H349,Clientes!$A$2:$H$400,5,0),"")</f>
        <v/>
      </c>
      <c r="U349" s="16">
        <f>IFERROR(VLOOKUP(F349,'LP MONCAR'!$A$4:$D$500,4,0),"")</f>
        <v/>
      </c>
    </row>
    <row r="350">
      <c r="A350" s="37" t="n"/>
      <c r="B350" s="16" t="n">
        <v>1752</v>
      </c>
      <c r="C350" s="16" t="inlineStr">
        <is>
          <t>Maxi</t>
        </is>
      </c>
      <c r="D350" s="17" t="n">
        <v>46006</v>
      </c>
      <c r="E350" s="16">
        <f>IFERROR(IF(LEFT(F350,2)="RM","RMH","MONCAR"),"")</f>
        <v/>
      </c>
      <c r="F350" s="16" t="inlineStr">
        <is>
          <t>RM 714</t>
        </is>
      </c>
      <c r="G350" s="16" t="n">
        <v>1</v>
      </c>
      <c r="H350" s="16" t="inlineStr">
        <is>
          <t>BURGOS</t>
        </is>
      </c>
      <c r="I350" s="19" t="n"/>
      <c r="J350" s="18">
        <f>IF(TRIM(F350)="","",IF(LEFT(TRIM(F350),2)="RM",IFERROR(IF(D350&gt;=DATE(2026,4,1),INDEX('LP RMH'!$F:$F,MATCH(TRIM(F350),'LP RMH'!$A:$A,0)),INDEX('LP RMH'!$E:$E,MATCH(TRIM(F350),'LP RMH'!$A:$A,0))),0),IFERROR(INDEX('LP MONCAR'!$E:$E,MATCH(TRIM(F350),'LP MONCAR'!$A:$A,0)),0)))</f>
        <v/>
      </c>
      <c r="K350" s="18">
        <f>IF(AND(ISNUMBER(G350),ISNUMBER(J350),G350&gt;0,J350&gt;0),G350*J350,"")</f>
        <v/>
      </c>
      <c r="L350" s="16">
        <f>IF(D350&lt;&gt;"",TEXT(D350,"YYYY-MM"),"")</f>
        <v/>
      </c>
      <c r="M350" s="16" t="n"/>
      <c r="N350" s="18">
        <f>IFERROR(IF(ISNUMBER(G350),G350*VLOOKUP(F350,Costos!$A$4:$E$320,5,0),0),0)</f>
        <v/>
      </c>
      <c r="O350" s="16">
        <f>IF(K350&lt;&gt;"",K350-N350,"")</f>
        <v/>
      </c>
      <c r="P350" s="16">
        <f>IFERROR(VLOOKUP(F350,'LP MONCAR'!$A$4:$C$500,3,0),"")</f>
        <v/>
      </c>
      <c r="Q350" s="16">
        <f>IFERROR(VLOOKUP(H350,Clientes!$A$2:$H$400,2,0),"")</f>
        <v/>
      </c>
      <c r="R350" s="16">
        <f>IFERROR(VLOOKUP(H350,Clientes!$A$2:$H$400,3,0),"")</f>
        <v/>
      </c>
      <c r="S350" s="16">
        <f>IFERROR(VLOOKUP(H350,Clientes!$A$2:$H$400,4,0),"")</f>
        <v/>
      </c>
      <c r="T350" s="16">
        <f>IFERROR(VLOOKUP(H350,Clientes!$A$2:$H$400,5,0),"")</f>
        <v/>
      </c>
      <c r="U350" s="16">
        <f>IFERROR(VLOOKUP(F350,'LP MONCAR'!$A$4:$D$500,4,0),"")</f>
        <v/>
      </c>
    </row>
    <row r="351">
      <c r="A351" s="37" t="n"/>
      <c r="B351" s="16" t="n">
        <v>1754</v>
      </c>
      <c r="C351" s="16" t="inlineStr">
        <is>
          <t>Maxi</t>
        </is>
      </c>
      <c r="D351" s="17" t="n">
        <v>46008</v>
      </c>
      <c r="E351" s="16">
        <f>IFERROR(IF(LEFT(F351,2)="RM","RMH","MONCAR"),"")</f>
        <v/>
      </c>
      <c r="F351" s="16" t="inlineStr">
        <is>
          <t>RM 023</t>
        </is>
      </c>
      <c r="G351" s="16" t="n">
        <v>10</v>
      </c>
      <c r="H351" s="16" t="inlineStr">
        <is>
          <t>EL REFUGIO</t>
        </is>
      </c>
      <c r="I351" s="19" t="n"/>
      <c r="J351" s="18">
        <f>IF(TRIM(F351)="","",IF(LEFT(TRIM(F351),2)="RM",IFERROR(IF(D351&gt;=DATE(2026,4,1),INDEX('LP RMH'!$F:$F,MATCH(TRIM(F351),'LP RMH'!$A:$A,0)),INDEX('LP RMH'!$E:$E,MATCH(TRIM(F351),'LP RMH'!$A:$A,0))),0),IFERROR(INDEX('LP MONCAR'!$E:$E,MATCH(TRIM(F351),'LP MONCAR'!$A:$A,0)),0)))</f>
        <v/>
      </c>
      <c r="K351" s="18">
        <f>IF(AND(ISNUMBER(G351),ISNUMBER(J351),G351&gt;0,J351&gt;0),G351*J351,"")</f>
        <v/>
      </c>
      <c r="L351" s="16">
        <f>IF(D351&lt;&gt;"",TEXT(D351,"YYYY-MM"),"")</f>
        <v/>
      </c>
      <c r="M351" s="16" t="n"/>
      <c r="N351" s="18">
        <f>IFERROR(IF(ISNUMBER(G351),G351*VLOOKUP(F351,Costos!$A$4:$E$320,5,0),0),0)</f>
        <v/>
      </c>
      <c r="O351" s="16">
        <f>IF(K351&lt;&gt;"",K351-N351,"")</f>
        <v/>
      </c>
      <c r="P351" s="16">
        <f>IFERROR(VLOOKUP(F351,'LP MONCAR'!$A$4:$C$500,3,0),"")</f>
        <v/>
      </c>
      <c r="Q351" s="16">
        <f>IFERROR(VLOOKUP(H351,Clientes!$A$2:$H$400,2,0),"")</f>
        <v/>
      </c>
      <c r="R351" s="16">
        <f>IFERROR(VLOOKUP(H351,Clientes!$A$2:$H$400,3,0),"")</f>
        <v/>
      </c>
      <c r="S351" s="16">
        <f>IFERROR(VLOOKUP(H351,Clientes!$A$2:$H$400,4,0),"")</f>
        <v/>
      </c>
      <c r="T351" s="16">
        <f>IFERROR(VLOOKUP(H351,Clientes!$A$2:$H$400,5,0),"")</f>
        <v/>
      </c>
      <c r="U351" s="16">
        <f>IFERROR(VLOOKUP(F351,'LP MONCAR'!$A$4:$D$500,4,0),"")</f>
        <v/>
      </c>
    </row>
    <row r="352">
      <c r="A352" s="37" t="n"/>
      <c r="B352" s="16" t="n">
        <v>1755</v>
      </c>
      <c r="C352" s="16" t="inlineStr">
        <is>
          <t>Maxi</t>
        </is>
      </c>
      <c r="D352" s="17" t="n">
        <v>46013</v>
      </c>
      <c r="E352" s="16">
        <f>IFERROR(IF(LEFT(F352,2)="RM","RMH","MONCAR"),"")</f>
        <v/>
      </c>
      <c r="F352" s="16" t="inlineStr">
        <is>
          <t>RM 034</t>
        </is>
      </c>
      <c r="G352" s="16" t="n">
        <v>1</v>
      </c>
      <c r="H352" s="16" t="inlineStr">
        <is>
          <t>A.S.C</t>
        </is>
      </c>
      <c r="I352" s="19" t="n"/>
      <c r="J352" s="18">
        <f>IF(TRIM(F352)="","",IF(LEFT(TRIM(F352),2)="RM",IFERROR(IF(D352&gt;=DATE(2026,4,1),INDEX('LP RMH'!$F:$F,MATCH(TRIM(F352),'LP RMH'!$A:$A,0)),INDEX('LP RMH'!$E:$E,MATCH(TRIM(F352),'LP RMH'!$A:$A,0))),0),IFERROR(INDEX('LP MONCAR'!$E:$E,MATCH(TRIM(F352),'LP MONCAR'!$A:$A,0)),0)))</f>
        <v/>
      </c>
      <c r="K352" s="18">
        <f>IF(AND(ISNUMBER(G352),ISNUMBER(J352),G352&gt;0,J352&gt;0),G352*J352,"")</f>
        <v/>
      </c>
      <c r="L352" s="16">
        <f>IF(D352&lt;&gt;"",TEXT(D352,"YYYY-MM"),"")</f>
        <v/>
      </c>
      <c r="M352" s="16" t="n"/>
      <c r="N352" s="18">
        <f>IFERROR(IF(ISNUMBER(G352),G352*VLOOKUP(F352,Costos!$A$4:$E$320,5,0),0),0)</f>
        <v/>
      </c>
      <c r="O352" s="16">
        <f>IF(K352&lt;&gt;"",K352-N352,"")</f>
        <v/>
      </c>
      <c r="P352" s="16">
        <f>IFERROR(VLOOKUP(F352,'LP MONCAR'!$A$4:$C$500,3,0),"")</f>
        <v/>
      </c>
      <c r="Q352" s="16">
        <f>IFERROR(VLOOKUP(H352,Clientes!$A$2:$H$400,2,0),"")</f>
        <v/>
      </c>
      <c r="R352" s="16">
        <f>IFERROR(VLOOKUP(H352,Clientes!$A$2:$H$400,3,0),"")</f>
        <v/>
      </c>
      <c r="S352" s="16">
        <f>IFERROR(VLOOKUP(H352,Clientes!$A$2:$H$400,4,0),"")</f>
        <v/>
      </c>
      <c r="T352" s="16">
        <f>IFERROR(VLOOKUP(H352,Clientes!$A$2:$H$400,5,0),"")</f>
        <v/>
      </c>
      <c r="U352" s="16">
        <f>IFERROR(VLOOKUP(F352,'LP MONCAR'!$A$4:$D$500,4,0),"")</f>
        <v/>
      </c>
    </row>
    <row r="353">
      <c r="A353" s="37" t="n"/>
      <c r="B353" s="16" t="n">
        <v>1755</v>
      </c>
      <c r="C353" s="16" t="inlineStr">
        <is>
          <t>Maxi</t>
        </is>
      </c>
      <c r="D353" s="17" t="n">
        <v>46013</v>
      </c>
      <c r="E353" s="16">
        <f>IFERROR(IF(LEFT(F353,2)="RM","RMH","MONCAR"),"")</f>
        <v/>
      </c>
      <c r="F353" s="16" t="inlineStr">
        <is>
          <t>RM 036</t>
        </is>
      </c>
      <c r="G353" s="16" t="n">
        <v>1</v>
      </c>
      <c r="H353" s="16" t="inlineStr">
        <is>
          <t>A.S.C</t>
        </is>
      </c>
      <c r="I353" s="19" t="n"/>
      <c r="J353" s="18">
        <f>IF(TRIM(F353)="","",IF(LEFT(TRIM(F353),2)="RM",IFERROR(IF(D353&gt;=DATE(2026,4,1),INDEX('LP RMH'!$F:$F,MATCH(TRIM(F353),'LP RMH'!$A:$A,0)),INDEX('LP RMH'!$E:$E,MATCH(TRIM(F353),'LP RMH'!$A:$A,0))),0),IFERROR(INDEX('LP MONCAR'!$E:$E,MATCH(TRIM(F353),'LP MONCAR'!$A:$A,0)),0)))</f>
        <v/>
      </c>
      <c r="K353" s="18">
        <f>IF(AND(ISNUMBER(G353),ISNUMBER(J353),G353&gt;0,J353&gt;0),G353*J353,"")</f>
        <v/>
      </c>
      <c r="L353" s="16">
        <f>IF(D353&lt;&gt;"",TEXT(D353,"YYYY-MM"),"")</f>
        <v/>
      </c>
      <c r="M353" s="16" t="n"/>
      <c r="N353" s="18">
        <f>IFERROR(IF(ISNUMBER(G353),G353*VLOOKUP(F353,Costos!$A$4:$E$320,5,0),0),0)</f>
        <v/>
      </c>
      <c r="O353" s="16">
        <f>IF(K353&lt;&gt;"",K353-N353,"")</f>
        <v/>
      </c>
      <c r="P353" s="16">
        <f>IFERROR(VLOOKUP(F353,'LP MONCAR'!$A$4:$C$500,3,0),"")</f>
        <v/>
      </c>
      <c r="Q353" s="16">
        <f>IFERROR(VLOOKUP(H353,Clientes!$A$2:$H$400,2,0),"")</f>
        <v/>
      </c>
      <c r="R353" s="16">
        <f>IFERROR(VLOOKUP(H353,Clientes!$A$2:$H$400,3,0),"")</f>
        <v/>
      </c>
      <c r="S353" s="16">
        <f>IFERROR(VLOOKUP(H353,Clientes!$A$2:$H$400,4,0),"")</f>
        <v/>
      </c>
      <c r="T353" s="16">
        <f>IFERROR(VLOOKUP(H353,Clientes!$A$2:$H$400,5,0),"")</f>
        <v/>
      </c>
      <c r="U353" s="16">
        <f>IFERROR(VLOOKUP(F353,'LP MONCAR'!$A$4:$D$500,4,0),"")</f>
        <v/>
      </c>
    </row>
    <row r="354">
      <c r="A354" s="37" t="n"/>
      <c r="B354" s="16" t="n">
        <v>1756</v>
      </c>
      <c r="C354" s="16" t="inlineStr">
        <is>
          <t>Maxi</t>
        </is>
      </c>
      <c r="D354" s="17" t="n">
        <v>46014</v>
      </c>
      <c r="E354" s="16">
        <f>IFERROR(IF(LEFT(F354,2)="RM","RMH","MONCAR"),"")</f>
        <v/>
      </c>
      <c r="F354" s="16" t="inlineStr">
        <is>
          <t>RM 416</t>
        </is>
      </c>
      <c r="G354" s="16" t="n">
        <v>1</v>
      </c>
      <c r="H354" s="16" t="inlineStr">
        <is>
          <t>ELECTROMECANICA DIAMANTE</t>
        </is>
      </c>
      <c r="I354" s="19" t="n"/>
      <c r="J354" s="18">
        <f>IF(TRIM(F354)="","",IF(LEFT(TRIM(F354),2)="RM",IFERROR(IF(D354&gt;=DATE(2026,4,1),INDEX('LP RMH'!$F:$F,MATCH(TRIM(F354),'LP RMH'!$A:$A,0)),INDEX('LP RMH'!$E:$E,MATCH(TRIM(F354),'LP RMH'!$A:$A,0))),0),IFERROR(INDEX('LP MONCAR'!$E:$E,MATCH(TRIM(F354),'LP MONCAR'!$A:$A,0)),0)))</f>
        <v/>
      </c>
      <c r="K354" s="18">
        <f>IF(AND(ISNUMBER(G354),ISNUMBER(J354),G354&gt;0,J354&gt;0),G354*J354,"")</f>
        <v/>
      </c>
      <c r="L354" s="16">
        <f>IF(D354&lt;&gt;"",TEXT(D354,"YYYY-MM"),"")</f>
        <v/>
      </c>
      <c r="M354" s="16" t="n"/>
      <c r="N354" s="18">
        <f>IFERROR(IF(ISNUMBER(G354),G354*VLOOKUP(F354,Costos!$A$4:$E$320,5,0),0),0)</f>
        <v/>
      </c>
      <c r="O354" s="16">
        <f>IF(K354&lt;&gt;"",K354-N354,"")</f>
        <v/>
      </c>
      <c r="P354" s="16">
        <f>IFERROR(VLOOKUP(F354,'LP MONCAR'!$A$4:$C$500,3,0),"")</f>
        <v/>
      </c>
      <c r="Q354" s="16">
        <f>IFERROR(VLOOKUP(H354,Clientes!$A$2:$H$400,2,0),"")</f>
        <v/>
      </c>
      <c r="R354" s="16">
        <f>IFERROR(VLOOKUP(H354,Clientes!$A$2:$H$400,3,0),"")</f>
        <v/>
      </c>
      <c r="S354" s="16">
        <f>IFERROR(VLOOKUP(H354,Clientes!$A$2:$H$400,4,0),"")</f>
        <v/>
      </c>
      <c r="T354" s="16">
        <f>IFERROR(VLOOKUP(H354,Clientes!$A$2:$H$400,5,0),"")</f>
        <v/>
      </c>
      <c r="U354" s="16">
        <f>IFERROR(VLOOKUP(F354,'LP MONCAR'!$A$4:$D$500,4,0),"")</f>
        <v/>
      </c>
    </row>
    <row r="355">
      <c r="A355" s="37" t="n"/>
      <c r="B355" s="16" t="n">
        <v>1757</v>
      </c>
      <c r="C355" s="16" t="inlineStr">
        <is>
          <t>Maxi</t>
        </is>
      </c>
      <c r="D355" s="17" t="n">
        <v>46014</v>
      </c>
      <c r="E355" s="16">
        <f>IFERROR(IF(LEFT(F355,2)="RM","RMH","MONCAR"),"")</f>
        <v/>
      </c>
      <c r="F355" s="16" t="inlineStr">
        <is>
          <t>RM 040</t>
        </is>
      </c>
      <c r="G355" s="16" t="n">
        <v>2</v>
      </c>
      <c r="H355" s="16" t="inlineStr">
        <is>
          <t>LOMDI</t>
        </is>
      </c>
      <c r="I355" s="19" t="n"/>
      <c r="J355" s="18">
        <f>IF(TRIM(F355)="","",IF(LEFT(TRIM(F355),2)="RM",IFERROR(IF(D355&gt;=DATE(2026,4,1),INDEX('LP RMH'!$F:$F,MATCH(TRIM(F355),'LP RMH'!$A:$A,0)),INDEX('LP RMH'!$E:$E,MATCH(TRIM(F355),'LP RMH'!$A:$A,0))),0),IFERROR(INDEX('LP MONCAR'!$E:$E,MATCH(TRIM(F355),'LP MONCAR'!$A:$A,0)),0)))</f>
        <v/>
      </c>
      <c r="K355" s="18">
        <f>IF(AND(ISNUMBER(G355),ISNUMBER(J355),G355&gt;0,J355&gt;0),G355*J355,"")</f>
        <v/>
      </c>
      <c r="L355" s="16">
        <f>IF(D355&lt;&gt;"",TEXT(D355,"YYYY-MM"),"")</f>
        <v/>
      </c>
      <c r="M355" s="16" t="n"/>
      <c r="N355" s="18">
        <f>IFERROR(IF(ISNUMBER(G355),G355*VLOOKUP(F355,Costos!$A$4:$E$320,5,0),0),0)</f>
        <v/>
      </c>
      <c r="O355" s="16">
        <f>IF(K355&lt;&gt;"",K355-N355,"")</f>
        <v/>
      </c>
      <c r="P355" s="16">
        <f>IFERROR(VLOOKUP(F355,'LP MONCAR'!$A$4:$C$500,3,0),"")</f>
        <v/>
      </c>
      <c r="Q355" s="16">
        <f>IFERROR(VLOOKUP(H355,Clientes!$A$2:$H$400,2,0),"")</f>
        <v/>
      </c>
      <c r="R355" s="16">
        <f>IFERROR(VLOOKUP(H355,Clientes!$A$2:$H$400,3,0),"")</f>
        <v/>
      </c>
      <c r="S355" s="16">
        <f>IFERROR(VLOOKUP(H355,Clientes!$A$2:$H$400,4,0),"")</f>
        <v/>
      </c>
      <c r="T355" s="16">
        <f>IFERROR(VLOOKUP(H355,Clientes!$A$2:$H$400,5,0),"")</f>
        <v/>
      </c>
      <c r="U355" s="16">
        <f>IFERROR(VLOOKUP(F355,'LP MONCAR'!$A$4:$D$500,4,0),"")</f>
        <v/>
      </c>
    </row>
    <row r="356">
      <c r="A356" s="37" t="n"/>
      <c r="B356" s="16" t="n">
        <v>1758</v>
      </c>
      <c r="C356" s="16" t="inlineStr">
        <is>
          <t>Maxi</t>
        </is>
      </c>
      <c r="D356" s="17" t="n">
        <v>46014</v>
      </c>
      <c r="E356" s="16">
        <f>IFERROR(IF(LEFT(F356,2)="RM","RMH","MONCAR"),"")</f>
        <v/>
      </c>
      <c r="F356" s="16" t="inlineStr">
        <is>
          <t>RM 034</t>
        </is>
      </c>
      <c r="G356" s="16" t="n">
        <v>1</v>
      </c>
      <c r="H356" s="16" t="inlineStr">
        <is>
          <t>LONG-SERVICE</t>
        </is>
      </c>
      <c r="I356" s="19" t="n"/>
      <c r="J356" s="18">
        <f>IF(TRIM(F356)="","",IF(LEFT(TRIM(F356),2)="RM",IFERROR(IF(D356&gt;=DATE(2026,4,1),INDEX('LP RMH'!$F:$F,MATCH(TRIM(F356),'LP RMH'!$A:$A,0)),INDEX('LP RMH'!$E:$E,MATCH(TRIM(F356),'LP RMH'!$A:$A,0))),0),IFERROR(INDEX('LP MONCAR'!$E:$E,MATCH(TRIM(F356),'LP MONCAR'!$A:$A,0)),0)))</f>
        <v/>
      </c>
      <c r="K356" s="18">
        <f>IF(AND(ISNUMBER(G356),ISNUMBER(J356),G356&gt;0,J356&gt;0),G356*J356,"")</f>
        <v/>
      </c>
      <c r="L356" s="16">
        <f>IF(D356&lt;&gt;"",TEXT(D356,"YYYY-MM"),"")</f>
        <v/>
      </c>
      <c r="M356" s="16" t="n"/>
      <c r="N356" s="18">
        <f>IFERROR(IF(ISNUMBER(G356),G356*VLOOKUP(F356,Costos!$A$4:$E$320,5,0),0),0)</f>
        <v/>
      </c>
      <c r="O356" s="16">
        <f>IF(K356&lt;&gt;"",K356-N356,"")</f>
        <v/>
      </c>
      <c r="P356" s="16">
        <f>IFERROR(VLOOKUP(F356,'LP MONCAR'!$A$4:$C$500,3,0),"")</f>
        <v/>
      </c>
      <c r="Q356" s="16">
        <f>IFERROR(VLOOKUP(H356,Clientes!$A$2:$H$400,2,0),"")</f>
        <v/>
      </c>
      <c r="R356" s="16">
        <f>IFERROR(VLOOKUP(H356,Clientes!$A$2:$H$400,3,0),"")</f>
        <v/>
      </c>
      <c r="S356" s="16">
        <f>IFERROR(VLOOKUP(H356,Clientes!$A$2:$H$400,4,0),"")</f>
        <v/>
      </c>
      <c r="T356" s="16">
        <f>IFERROR(VLOOKUP(H356,Clientes!$A$2:$H$400,5,0),"")</f>
        <v/>
      </c>
      <c r="U356" s="16">
        <f>IFERROR(VLOOKUP(F356,'LP MONCAR'!$A$4:$D$500,4,0),"")</f>
        <v/>
      </c>
    </row>
    <row r="357">
      <c r="A357" s="37" t="n"/>
      <c r="B357" s="16" t="n">
        <v>1760</v>
      </c>
      <c r="C357" s="16" t="inlineStr">
        <is>
          <t>Maxi</t>
        </is>
      </c>
      <c r="D357" s="17" t="n">
        <v>46028</v>
      </c>
      <c r="E357" s="16">
        <f>IFERROR(IF(LEFT(F357,2)="RM","RMH","MONCAR"),"")</f>
        <v/>
      </c>
      <c r="F357" s="16" t="inlineStr">
        <is>
          <t>RM 022</t>
        </is>
      </c>
      <c r="G357" s="16" t="n">
        <v>5</v>
      </c>
      <c r="H357" s="16" t="inlineStr">
        <is>
          <t>PACIFICO 4</t>
        </is>
      </c>
      <c r="I357" s="19" t="n"/>
      <c r="J357" s="18">
        <f>IF(TRIM(F357)="","",IF(LEFT(TRIM(F357),2)="RM",IFERROR(IF(D357&gt;=DATE(2026,4,1),INDEX('LP RMH'!$F:$F,MATCH(TRIM(F357),'LP RMH'!$A:$A,0)),INDEX('LP RMH'!$E:$E,MATCH(TRIM(F357),'LP RMH'!$A:$A,0))),0),IFERROR(INDEX('LP MONCAR'!$E:$E,MATCH(TRIM(F357),'LP MONCAR'!$A:$A,0)),0)))</f>
        <v/>
      </c>
      <c r="K357" s="18">
        <f>IF(AND(ISNUMBER(G357),ISNUMBER(J357),G357&gt;0,J357&gt;0),G357*J357,"")</f>
        <v/>
      </c>
      <c r="L357" s="16">
        <f>IF(D357&lt;&gt;"",TEXT(D357,"YYYY-MM"),"")</f>
        <v/>
      </c>
      <c r="M357" s="16" t="n"/>
      <c r="N357" s="18">
        <f>IFERROR(IF(ISNUMBER(G357),G357*VLOOKUP(F357,Costos!$A$4:$E$320,5,0),0),0)</f>
        <v/>
      </c>
      <c r="O357" s="16">
        <f>IF(K357&lt;&gt;"",K357-N357,"")</f>
        <v/>
      </c>
      <c r="P357" s="16">
        <f>IFERROR(VLOOKUP(F357,'LP MONCAR'!$A$4:$C$500,3,0),"")</f>
        <v/>
      </c>
      <c r="Q357" s="16">
        <f>IFERROR(VLOOKUP(H357,Clientes!$A$2:$H$400,2,0),"")</f>
        <v/>
      </c>
      <c r="R357" s="16">
        <f>IFERROR(VLOOKUP(H357,Clientes!$A$2:$H$400,3,0),"")</f>
        <v/>
      </c>
      <c r="S357" s="16">
        <f>IFERROR(VLOOKUP(H357,Clientes!$A$2:$H$400,4,0),"")</f>
        <v/>
      </c>
      <c r="T357" s="16">
        <f>IFERROR(VLOOKUP(H357,Clientes!$A$2:$H$400,5,0),"")</f>
        <v/>
      </c>
      <c r="U357" s="16">
        <f>IFERROR(VLOOKUP(F357,'LP MONCAR'!$A$4:$D$500,4,0),"")</f>
        <v/>
      </c>
    </row>
    <row r="358">
      <c r="A358" s="37" t="n"/>
      <c r="B358" s="16" t="n">
        <v>1760</v>
      </c>
      <c r="C358" s="16" t="inlineStr">
        <is>
          <t>Maxi</t>
        </is>
      </c>
      <c r="D358" s="17" t="n">
        <v>46028</v>
      </c>
      <c r="E358" s="16">
        <f>IFERROR(IF(LEFT(F358,2)="RM","RMH","MONCAR"),"")</f>
        <v/>
      </c>
      <c r="F358" s="16" t="inlineStr">
        <is>
          <t>RM 035</t>
        </is>
      </c>
      <c r="G358" s="16" t="n">
        <v>5</v>
      </c>
      <c r="H358" s="16" t="inlineStr">
        <is>
          <t>PACIFICO 4</t>
        </is>
      </c>
      <c r="I358" s="19" t="n"/>
      <c r="J358" s="18">
        <f>IF(TRIM(F358)="","",IF(LEFT(TRIM(F358),2)="RM",IFERROR(IF(D358&gt;=DATE(2026,4,1),INDEX('LP RMH'!$F:$F,MATCH(TRIM(F358),'LP RMH'!$A:$A,0)),INDEX('LP RMH'!$E:$E,MATCH(TRIM(F358),'LP RMH'!$A:$A,0))),0),IFERROR(INDEX('LP MONCAR'!$E:$E,MATCH(TRIM(F358),'LP MONCAR'!$A:$A,0)),0)))</f>
        <v/>
      </c>
      <c r="K358" s="18">
        <f>IF(AND(ISNUMBER(G358),ISNUMBER(J358),G358&gt;0,J358&gt;0),G358*J358,"")</f>
        <v/>
      </c>
      <c r="L358" s="16">
        <f>IF(D358&lt;&gt;"",TEXT(D358,"YYYY-MM"),"")</f>
        <v/>
      </c>
      <c r="M358" s="16" t="n"/>
      <c r="N358" s="18">
        <f>IFERROR(IF(ISNUMBER(G358),G358*VLOOKUP(F358,Costos!$A$4:$E$320,5,0),0),0)</f>
        <v/>
      </c>
      <c r="O358" s="16">
        <f>IF(K358&lt;&gt;"",K358-N358,"")</f>
        <v/>
      </c>
      <c r="P358" s="16">
        <f>IFERROR(VLOOKUP(F358,'LP MONCAR'!$A$4:$C$500,3,0),"")</f>
        <v/>
      </c>
      <c r="Q358" s="16">
        <f>IFERROR(VLOOKUP(H358,Clientes!$A$2:$H$400,2,0),"")</f>
        <v/>
      </c>
      <c r="R358" s="16">
        <f>IFERROR(VLOOKUP(H358,Clientes!$A$2:$H$400,3,0),"")</f>
        <v/>
      </c>
      <c r="S358" s="16">
        <f>IFERROR(VLOOKUP(H358,Clientes!$A$2:$H$400,4,0),"")</f>
        <v/>
      </c>
      <c r="T358" s="16">
        <f>IFERROR(VLOOKUP(H358,Clientes!$A$2:$H$400,5,0),"")</f>
        <v/>
      </c>
      <c r="U358" s="16">
        <f>IFERROR(VLOOKUP(F358,'LP MONCAR'!$A$4:$D$500,4,0),"")</f>
        <v/>
      </c>
    </row>
    <row r="359">
      <c r="A359" s="37" t="n"/>
      <c r="B359" s="16" t="n">
        <v>1761</v>
      </c>
      <c r="C359" s="16" t="inlineStr">
        <is>
          <t>Maxi</t>
        </is>
      </c>
      <c r="D359" s="17" t="n">
        <v>46028</v>
      </c>
      <c r="E359" s="16">
        <f>IFERROR(IF(LEFT(F359,2)="RM","RMH","MONCAR"),"")</f>
        <v/>
      </c>
      <c r="F359" s="16" t="inlineStr">
        <is>
          <t>RM 022</t>
        </is>
      </c>
      <c r="G359" s="16" t="n">
        <v>2</v>
      </c>
      <c r="H359" s="16" t="inlineStr">
        <is>
          <t>EL TIO</t>
        </is>
      </c>
      <c r="I359" s="19" t="n"/>
      <c r="J359" s="18">
        <f>IF(TRIM(F359)="","",IF(LEFT(TRIM(F359),2)="RM",IFERROR(IF(D359&gt;=DATE(2026,4,1),INDEX('LP RMH'!$F:$F,MATCH(TRIM(F359),'LP RMH'!$A:$A,0)),INDEX('LP RMH'!$E:$E,MATCH(TRIM(F359),'LP RMH'!$A:$A,0))),0),IFERROR(INDEX('LP MONCAR'!$E:$E,MATCH(TRIM(F359),'LP MONCAR'!$A:$A,0)),0)))</f>
        <v/>
      </c>
      <c r="K359" s="18">
        <f>IF(AND(ISNUMBER(G359),ISNUMBER(J359),G359&gt;0,J359&gt;0),G359*J359,"")</f>
        <v/>
      </c>
      <c r="L359" s="16">
        <f>IF(D359&lt;&gt;"",TEXT(D359,"YYYY-MM"),"")</f>
        <v/>
      </c>
      <c r="M359" s="16" t="n"/>
      <c r="N359" s="18">
        <f>IFERROR(IF(ISNUMBER(G359),G359*VLOOKUP(F359,Costos!$A$4:$E$320,5,0),0),0)</f>
        <v/>
      </c>
      <c r="O359" s="16">
        <f>IF(K359&lt;&gt;"",K359-N359,"")</f>
        <v/>
      </c>
      <c r="P359" s="16">
        <f>IFERROR(VLOOKUP(F359,'LP MONCAR'!$A$4:$C$500,3,0),"")</f>
        <v/>
      </c>
      <c r="Q359" s="16">
        <f>IFERROR(VLOOKUP(H359,Clientes!$A$2:$H$400,2,0),"")</f>
        <v/>
      </c>
      <c r="R359" s="16">
        <f>IFERROR(VLOOKUP(H359,Clientes!$A$2:$H$400,3,0),"")</f>
        <v/>
      </c>
      <c r="S359" s="16">
        <f>IFERROR(VLOOKUP(H359,Clientes!$A$2:$H$400,4,0),"")</f>
        <v/>
      </c>
      <c r="T359" s="16">
        <f>IFERROR(VLOOKUP(H359,Clientes!$A$2:$H$400,5,0),"")</f>
        <v/>
      </c>
      <c r="U359" s="16">
        <f>IFERROR(VLOOKUP(F359,'LP MONCAR'!$A$4:$D$500,4,0),"")</f>
        <v/>
      </c>
    </row>
    <row r="360">
      <c r="A360" s="37" t="n"/>
      <c r="B360" s="16" t="n">
        <v>1764</v>
      </c>
      <c r="C360" s="16" t="inlineStr">
        <is>
          <t>Maxi</t>
        </is>
      </c>
      <c r="D360" s="17" t="n">
        <v>46028</v>
      </c>
      <c r="E360" s="16">
        <f>IFERROR(IF(LEFT(F360,2)="RM","RMH","MONCAR"),"")</f>
        <v/>
      </c>
      <c r="F360" s="16" t="inlineStr">
        <is>
          <t>RM 022</t>
        </is>
      </c>
      <c r="G360" s="16" t="n">
        <v>3</v>
      </c>
      <c r="H360" s="16" t="inlineStr">
        <is>
          <t>PACIFICO</t>
        </is>
      </c>
      <c r="I360" s="19" t="n"/>
      <c r="J360" s="18">
        <f>IF(TRIM(F360)="","",IF(LEFT(TRIM(F360),2)="RM",IFERROR(IF(D360&gt;=DATE(2026,4,1),INDEX('LP RMH'!$F:$F,MATCH(TRIM(F360),'LP RMH'!$A:$A,0)),INDEX('LP RMH'!$E:$E,MATCH(TRIM(F360),'LP RMH'!$A:$A,0))),0),IFERROR(INDEX('LP MONCAR'!$E:$E,MATCH(TRIM(F360),'LP MONCAR'!$A:$A,0)),0)))</f>
        <v/>
      </c>
      <c r="K360" s="18">
        <f>IF(AND(ISNUMBER(G360),ISNUMBER(J360),G360&gt;0,J360&gt;0),G360*J360,"")</f>
        <v/>
      </c>
      <c r="L360" s="16">
        <f>IF(D360&lt;&gt;"",TEXT(D360,"YYYY-MM"),"")</f>
        <v/>
      </c>
      <c r="M360" s="16" t="n"/>
      <c r="N360" s="18">
        <f>IFERROR(IF(ISNUMBER(G360),G360*VLOOKUP(F360,Costos!$A$4:$E$320,5,0),0),0)</f>
        <v/>
      </c>
      <c r="O360" s="16">
        <f>IF(K360&lt;&gt;"",K360-N360,"")</f>
        <v/>
      </c>
      <c r="P360" s="16">
        <f>IFERROR(VLOOKUP(F360,'LP MONCAR'!$A$4:$C$500,3,0),"")</f>
        <v/>
      </c>
      <c r="Q360" s="16">
        <f>IFERROR(VLOOKUP(H360,Clientes!$A$2:$H$400,2,0),"")</f>
        <v/>
      </c>
      <c r="R360" s="16">
        <f>IFERROR(VLOOKUP(H360,Clientes!$A$2:$H$400,3,0),"")</f>
        <v/>
      </c>
      <c r="S360" s="16">
        <f>IFERROR(VLOOKUP(H360,Clientes!$A$2:$H$400,4,0),"")</f>
        <v/>
      </c>
      <c r="T360" s="16">
        <f>IFERROR(VLOOKUP(H360,Clientes!$A$2:$H$400,5,0),"")</f>
        <v/>
      </c>
      <c r="U360" s="16">
        <f>IFERROR(VLOOKUP(F360,'LP MONCAR'!$A$4:$D$500,4,0),"")</f>
        <v/>
      </c>
    </row>
    <row r="361">
      <c r="A361" s="37" t="n"/>
      <c r="B361" s="16" t="n">
        <v>1764</v>
      </c>
      <c r="C361" s="16" t="inlineStr">
        <is>
          <t>Maxi</t>
        </is>
      </c>
      <c r="D361" s="17" t="n">
        <v>46028</v>
      </c>
      <c r="E361" s="16">
        <f>IFERROR(IF(LEFT(F361,2)="RM","RMH","MONCAR"),"")</f>
        <v/>
      </c>
      <c r="F361" s="16" t="inlineStr">
        <is>
          <t>RM 023</t>
        </is>
      </c>
      <c r="G361" s="16" t="n">
        <v>6</v>
      </c>
      <c r="H361" s="16" t="inlineStr">
        <is>
          <t>PACIFICO</t>
        </is>
      </c>
      <c r="I361" s="19" t="n"/>
      <c r="J361" s="18">
        <f>IF(TRIM(F361)="","",IF(LEFT(TRIM(F361),2)="RM",IFERROR(IF(D361&gt;=DATE(2026,4,1),INDEX('LP RMH'!$F:$F,MATCH(TRIM(F361),'LP RMH'!$A:$A,0)),INDEX('LP RMH'!$E:$E,MATCH(TRIM(F361),'LP RMH'!$A:$A,0))),0),IFERROR(INDEX('LP MONCAR'!$E:$E,MATCH(TRIM(F361),'LP MONCAR'!$A:$A,0)),0)))</f>
        <v/>
      </c>
      <c r="K361" s="18">
        <f>IF(AND(ISNUMBER(G361),ISNUMBER(J361),G361&gt;0,J361&gt;0),G361*J361,"")</f>
        <v/>
      </c>
      <c r="L361" s="16">
        <f>IF(D361&lt;&gt;"",TEXT(D361,"YYYY-MM"),"")</f>
        <v/>
      </c>
      <c r="M361" s="16" t="n"/>
      <c r="N361" s="18">
        <f>IFERROR(IF(ISNUMBER(G361),G361*VLOOKUP(F361,Costos!$A$4:$E$320,5,0),0),0)</f>
        <v/>
      </c>
      <c r="O361" s="16">
        <f>IF(K361&lt;&gt;"",K361-N361,"")</f>
        <v/>
      </c>
      <c r="P361" s="16">
        <f>IFERROR(VLOOKUP(F361,'LP MONCAR'!$A$4:$C$500,3,0),"")</f>
        <v/>
      </c>
      <c r="Q361" s="16">
        <f>IFERROR(VLOOKUP(H361,Clientes!$A$2:$H$400,2,0),"")</f>
        <v/>
      </c>
      <c r="R361" s="16">
        <f>IFERROR(VLOOKUP(H361,Clientes!$A$2:$H$400,3,0),"")</f>
        <v/>
      </c>
      <c r="S361" s="16">
        <f>IFERROR(VLOOKUP(H361,Clientes!$A$2:$H$400,4,0),"")</f>
        <v/>
      </c>
      <c r="T361" s="16">
        <f>IFERROR(VLOOKUP(H361,Clientes!$A$2:$H$400,5,0),"")</f>
        <v/>
      </c>
      <c r="U361" s="16">
        <f>IFERROR(VLOOKUP(F361,'LP MONCAR'!$A$4:$D$500,4,0),"")</f>
        <v/>
      </c>
    </row>
    <row r="362">
      <c r="A362" s="37" t="n"/>
      <c r="B362" s="16" t="n">
        <v>1764</v>
      </c>
      <c r="C362" s="16" t="inlineStr">
        <is>
          <t>Maxi</t>
        </is>
      </c>
      <c r="D362" s="17" t="n">
        <v>46028</v>
      </c>
      <c r="E362" s="16">
        <f>IFERROR(IF(LEFT(F362,2)="RM","RMH","MONCAR"),"")</f>
        <v/>
      </c>
      <c r="F362" s="16" t="inlineStr">
        <is>
          <t>RM 506</t>
        </is>
      </c>
      <c r="G362" s="16" t="n">
        <v>4</v>
      </c>
      <c r="H362" s="16" t="inlineStr">
        <is>
          <t>PACIFICO</t>
        </is>
      </c>
      <c r="I362" s="19" t="n"/>
      <c r="J362" s="18">
        <f>IF(TRIM(F362)="","",IF(LEFT(TRIM(F362),2)="RM",IFERROR(IF(D362&gt;=DATE(2026,4,1),INDEX('LP RMH'!$F:$F,MATCH(TRIM(F362),'LP RMH'!$A:$A,0)),INDEX('LP RMH'!$E:$E,MATCH(TRIM(F362),'LP RMH'!$A:$A,0))),0),IFERROR(INDEX('LP MONCAR'!$E:$E,MATCH(TRIM(F362),'LP MONCAR'!$A:$A,0)),0)))</f>
        <v/>
      </c>
      <c r="K362" s="18">
        <f>IF(AND(ISNUMBER(G362),ISNUMBER(J362),G362&gt;0,J362&gt;0),G362*J362,"")</f>
        <v/>
      </c>
      <c r="L362" s="16">
        <f>IF(D362&lt;&gt;"",TEXT(D362,"YYYY-MM"),"")</f>
        <v/>
      </c>
      <c r="M362" s="16" t="n"/>
      <c r="N362" s="18">
        <f>IFERROR(IF(ISNUMBER(G362),G362*VLOOKUP(F362,Costos!$A$4:$E$320,5,0),0),0)</f>
        <v/>
      </c>
      <c r="O362" s="16">
        <f>IF(K362&lt;&gt;"",K362-N362,"")</f>
        <v/>
      </c>
      <c r="P362" s="16">
        <f>IFERROR(VLOOKUP(F362,'LP MONCAR'!$A$4:$C$500,3,0),"")</f>
        <v/>
      </c>
      <c r="Q362" s="16">
        <f>IFERROR(VLOOKUP(H362,Clientes!$A$2:$H$400,2,0),"")</f>
        <v/>
      </c>
      <c r="R362" s="16">
        <f>IFERROR(VLOOKUP(H362,Clientes!$A$2:$H$400,3,0),"")</f>
        <v/>
      </c>
      <c r="S362" s="16">
        <f>IFERROR(VLOOKUP(H362,Clientes!$A$2:$H$400,4,0),"")</f>
        <v/>
      </c>
      <c r="T362" s="16">
        <f>IFERROR(VLOOKUP(H362,Clientes!$A$2:$H$400,5,0),"")</f>
        <v/>
      </c>
      <c r="U362" s="16">
        <f>IFERROR(VLOOKUP(F362,'LP MONCAR'!$A$4:$D$500,4,0),"")</f>
        <v/>
      </c>
    </row>
    <row r="363">
      <c r="A363" s="37" t="n"/>
      <c r="B363" s="16" t="n">
        <v>1766</v>
      </c>
      <c r="C363" s="16" t="inlineStr">
        <is>
          <t>Maxi</t>
        </is>
      </c>
      <c r="D363" s="17" t="n">
        <v>46030</v>
      </c>
      <c r="E363" s="16">
        <f>IFERROR(IF(LEFT(F363,2)="RM","RMH","MONCAR"),"")</f>
        <v/>
      </c>
      <c r="F363" s="16" t="inlineStr">
        <is>
          <t>RM 022</t>
        </is>
      </c>
      <c r="G363" s="16" t="n">
        <v>2</v>
      </c>
      <c r="H363" s="16" t="inlineStr">
        <is>
          <t>SERVISUR</t>
        </is>
      </c>
      <c r="I363" s="19" t="n"/>
      <c r="J363" s="18">
        <f>IF(TRIM(F363)="","",IF(LEFT(TRIM(F363),2)="RM",IFERROR(IF(D363&gt;=DATE(2026,4,1),INDEX('LP RMH'!$F:$F,MATCH(TRIM(F363),'LP RMH'!$A:$A,0)),INDEX('LP RMH'!$E:$E,MATCH(TRIM(F363),'LP RMH'!$A:$A,0))),0),IFERROR(INDEX('LP MONCAR'!$E:$E,MATCH(TRIM(F363),'LP MONCAR'!$A:$A,0)),0)))</f>
        <v/>
      </c>
      <c r="K363" s="18">
        <f>IF(AND(ISNUMBER(G363),ISNUMBER(J363),G363&gt;0,J363&gt;0),G363*J363,"")</f>
        <v/>
      </c>
      <c r="L363" s="16">
        <f>IF(D363&lt;&gt;"",TEXT(D363,"YYYY-MM"),"")</f>
        <v/>
      </c>
      <c r="M363" s="16" t="n"/>
      <c r="N363" s="18">
        <f>IFERROR(IF(ISNUMBER(G363),G363*VLOOKUP(F363,Costos!$A$4:$E$320,5,0),0),0)</f>
        <v/>
      </c>
      <c r="O363" s="16">
        <f>IF(K363&lt;&gt;"",K363-N363,"")</f>
        <v/>
      </c>
      <c r="P363" s="16">
        <f>IFERROR(VLOOKUP(F363,'LP MONCAR'!$A$4:$C$500,3,0),"")</f>
        <v/>
      </c>
      <c r="Q363" s="16">
        <f>IFERROR(VLOOKUP(H363,Clientes!$A$2:$H$400,2,0),"")</f>
        <v/>
      </c>
      <c r="R363" s="16">
        <f>IFERROR(VLOOKUP(H363,Clientes!$A$2:$H$400,3,0),"")</f>
        <v/>
      </c>
      <c r="S363" s="16">
        <f>IFERROR(VLOOKUP(H363,Clientes!$A$2:$H$400,4,0),"")</f>
        <v/>
      </c>
      <c r="T363" s="16">
        <f>IFERROR(VLOOKUP(H363,Clientes!$A$2:$H$400,5,0),"")</f>
        <v/>
      </c>
      <c r="U363" s="16">
        <f>IFERROR(VLOOKUP(F363,'LP MONCAR'!$A$4:$D$500,4,0),"")</f>
        <v/>
      </c>
    </row>
    <row r="364">
      <c r="A364" s="37" t="n"/>
      <c r="B364" s="16" t="n">
        <v>1766</v>
      </c>
      <c r="C364" s="16" t="inlineStr">
        <is>
          <t>Maxi</t>
        </is>
      </c>
      <c r="D364" s="17" t="n">
        <v>46030</v>
      </c>
      <c r="E364" s="16">
        <f>IFERROR(IF(LEFT(F364,2)="RM","RMH","MONCAR"),"")</f>
        <v/>
      </c>
      <c r="F364" s="16" t="inlineStr">
        <is>
          <t>RM 035</t>
        </is>
      </c>
      <c r="G364" s="16" t="n">
        <v>3</v>
      </c>
      <c r="H364" s="16" t="inlineStr">
        <is>
          <t>SERVISUR</t>
        </is>
      </c>
      <c r="I364" s="19" t="n"/>
      <c r="J364" s="18">
        <f>IF(TRIM(F364)="","",IF(LEFT(TRIM(F364),2)="RM",IFERROR(IF(D364&gt;=DATE(2026,4,1),INDEX('LP RMH'!$F:$F,MATCH(TRIM(F364),'LP RMH'!$A:$A,0)),INDEX('LP RMH'!$E:$E,MATCH(TRIM(F364),'LP RMH'!$A:$A,0))),0),IFERROR(INDEX('LP MONCAR'!$E:$E,MATCH(TRIM(F364),'LP MONCAR'!$A:$A,0)),0)))</f>
        <v/>
      </c>
      <c r="K364" s="18">
        <f>IF(AND(ISNUMBER(G364),ISNUMBER(J364),G364&gt;0,J364&gt;0),G364*J364,"")</f>
        <v/>
      </c>
      <c r="L364" s="16">
        <f>IF(D364&lt;&gt;"",TEXT(D364,"YYYY-MM"),"")</f>
        <v/>
      </c>
      <c r="M364" s="16" t="n"/>
      <c r="N364" s="18">
        <f>IFERROR(IF(ISNUMBER(G364),G364*VLOOKUP(F364,Costos!$A$4:$E$320,5,0),0),0)</f>
        <v/>
      </c>
      <c r="O364" s="16">
        <f>IF(K364&lt;&gt;"",K364-N364,"")</f>
        <v/>
      </c>
      <c r="P364" s="16">
        <f>IFERROR(VLOOKUP(F364,'LP MONCAR'!$A$4:$C$500,3,0),"")</f>
        <v/>
      </c>
      <c r="Q364" s="16">
        <f>IFERROR(VLOOKUP(H364,Clientes!$A$2:$H$400,2,0),"")</f>
        <v/>
      </c>
      <c r="R364" s="16">
        <f>IFERROR(VLOOKUP(H364,Clientes!$A$2:$H$400,3,0),"")</f>
        <v/>
      </c>
      <c r="S364" s="16">
        <f>IFERROR(VLOOKUP(H364,Clientes!$A$2:$H$400,4,0),"")</f>
        <v/>
      </c>
      <c r="T364" s="16">
        <f>IFERROR(VLOOKUP(H364,Clientes!$A$2:$H$400,5,0),"")</f>
        <v/>
      </c>
      <c r="U364" s="16">
        <f>IFERROR(VLOOKUP(F364,'LP MONCAR'!$A$4:$D$500,4,0),"")</f>
        <v/>
      </c>
    </row>
    <row r="365">
      <c r="A365" s="37" t="n"/>
      <c r="B365" s="16" t="n">
        <v>1767</v>
      </c>
      <c r="C365" s="16" t="inlineStr">
        <is>
          <t>Maxi</t>
        </is>
      </c>
      <c r="D365" s="17" t="n">
        <v>46030</v>
      </c>
      <c r="E365" s="16">
        <f>IFERROR(IF(LEFT(F365,2)="RM","RMH","MONCAR"),"")</f>
        <v/>
      </c>
      <c r="F365" s="16" t="inlineStr">
        <is>
          <t>RM 102</t>
        </is>
      </c>
      <c r="G365" s="16" t="n">
        <v>6</v>
      </c>
      <c r="H365" s="16" t="inlineStr">
        <is>
          <t>GALLE</t>
        </is>
      </c>
      <c r="I365" s="19" t="n"/>
      <c r="J365" s="18">
        <f>IF(TRIM(F365)="","",IF(LEFT(TRIM(F365),2)="RM",IFERROR(IF(D365&gt;=DATE(2026,4,1),INDEX('LP RMH'!$F:$F,MATCH(TRIM(F365),'LP RMH'!$A:$A,0)),INDEX('LP RMH'!$E:$E,MATCH(TRIM(F365),'LP RMH'!$A:$A,0))),0),IFERROR(INDEX('LP MONCAR'!$E:$E,MATCH(TRIM(F365),'LP MONCAR'!$A:$A,0)),0)))</f>
        <v/>
      </c>
      <c r="K365" s="18">
        <f>IF(AND(ISNUMBER(G365),ISNUMBER(J365),G365&gt;0,J365&gt;0),G365*J365,"")</f>
        <v/>
      </c>
      <c r="L365" s="16">
        <f>IF(D365&lt;&gt;"",TEXT(D365,"YYYY-MM"),"")</f>
        <v/>
      </c>
      <c r="M365" s="16" t="n"/>
      <c r="N365" s="18">
        <f>IFERROR(IF(ISNUMBER(G365),G365*VLOOKUP(F365,Costos!$A$4:$E$320,5,0),0),0)</f>
        <v/>
      </c>
      <c r="O365" s="16">
        <f>IF(K365&lt;&gt;"",K365-N365,"")</f>
        <v/>
      </c>
      <c r="P365" s="16">
        <f>IFERROR(VLOOKUP(F365,'LP MONCAR'!$A$4:$C$500,3,0),"")</f>
        <v/>
      </c>
      <c r="Q365" s="16">
        <f>IFERROR(VLOOKUP(H365,Clientes!$A$2:$H$400,2,0),"")</f>
        <v/>
      </c>
      <c r="R365" s="16">
        <f>IFERROR(VLOOKUP(H365,Clientes!$A$2:$H$400,3,0),"")</f>
        <v/>
      </c>
      <c r="S365" s="16">
        <f>IFERROR(VLOOKUP(H365,Clientes!$A$2:$H$400,4,0),"")</f>
        <v/>
      </c>
      <c r="T365" s="16">
        <f>IFERROR(VLOOKUP(H365,Clientes!$A$2:$H$400,5,0),"")</f>
        <v/>
      </c>
      <c r="U365" s="16">
        <f>IFERROR(VLOOKUP(F365,'LP MONCAR'!$A$4:$D$500,4,0),"")</f>
        <v/>
      </c>
    </row>
    <row r="366">
      <c r="A366" s="37" t="n"/>
      <c r="B366" s="16" t="n">
        <v>1767</v>
      </c>
      <c r="C366" s="16" t="inlineStr">
        <is>
          <t>Maxi</t>
        </is>
      </c>
      <c r="D366" s="17" t="n">
        <v>46030</v>
      </c>
      <c r="E366" s="16">
        <f>IFERROR(IF(LEFT(F366,2)="RM","RMH","MONCAR"),"")</f>
        <v/>
      </c>
      <c r="F366" s="16" t="inlineStr">
        <is>
          <t>RM 716</t>
        </is>
      </c>
      <c r="G366" s="16" t="n">
        <v>6</v>
      </c>
      <c r="H366" s="16" t="inlineStr">
        <is>
          <t>GALLE</t>
        </is>
      </c>
      <c r="I366" s="19" t="n"/>
      <c r="J366" s="18">
        <f>IF(TRIM(F366)="","",IF(LEFT(TRIM(F366),2)="RM",IFERROR(IF(D366&gt;=DATE(2026,4,1),INDEX('LP RMH'!$F:$F,MATCH(TRIM(F366),'LP RMH'!$A:$A,0)),INDEX('LP RMH'!$E:$E,MATCH(TRIM(F366),'LP RMH'!$A:$A,0))),0),IFERROR(INDEX('LP MONCAR'!$E:$E,MATCH(TRIM(F366),'LP MONCAR'!$A:$A,0)),0)))</f>
        <v/>
      </c>
      <c r="K366" s="18">
        <f>IF(AND(ISNUMBER(G366),ISNUMBER(J366),G366&gt;0,J366&gt;0),G366*J366,"")</f>
        <v/>
      </c>
      <c r="L366" s="16">
        <f>IF(D366&lt;&gt;"",TEXT(D366,"YYYY-MM"),"")</f>
        <v/>
      </c>
      <c r="M366" s="16" t="n"/>
      <c r="N366" s="18">
        <f>IFERROR(IF(ISNUMBER(G366),G366*VLOOKUP(F366,Costos!$A$4:$E$320,5,0),0),0)</f>
        <v/>
      </c>
      <c r="O366" s="16">
        <f>IF(K366&lt;&gt;"",K366-N366,"")</f>
        <v/>
      </c>
      <c r="P366" s="16">
        <f>IFERROR(VLOOKUP(F366,'LP MONCAR'!$A$4:$C$500,3,0),"")</f>
        <v/>
      </c>
      <c r="Q366" s="16">
        <f>IFERROR(VLOOKUP(H366,Clientes!$A$2:$H$400,2,0),"")</f>
        <v/>
      </c>
      <c r="R366" s="16">
        <f>IFERROR(VLOOKUP(H366,Clientes!$A$2:$H$400,3,0),"")</f>
        <v/>
      </c>
      <c r="S366" s="16">
        <f>IFERROR(VLOOKUP(H366,Clientes!$A$2:$H$400,4,0),"")</f>
        <v/>
      </c>
      <c r="T366" s="16">
        <f>IFERROR(VLOOKUP(H366,Clientes!$A$2:$H$400,5,0),"")</f>
        <v/>
      </c>
      <c r="U366" s="16">
        <f>IFERROR(VLOOKUP(F366,'LP MONCAR'!$A$4:$D$500,4,0),"")</f>
        <v/>
      </c>
    </row>
    <row r="367">
      <c r="A367" s="37" t="n"/>
      <c r="B367" s="16" t="n">
        <v>1768</v>
      </c>
      <c r="C367" s="16" t="inlineStr">
        <is>
          <t>Maxi</t>
        </is>
      </c>
      <c r="D367" s="17" t="n">
        <v>46035</v>
      </c>
      <c r="E367" s="16">
        <f>IFERROR(IF(LEFT(F367,2)="RM","RMH","MONCAR"),"")</f>
        <v/>
      </c>
      <c r="F367" s="16" t="inlineStr">
        <is>
          <t>RM 416</t>
        </is>
      </c>
      <c r="G367" s="16" t="n">
        <v>4</v>
      </c>
      <c r="H367" s="16" t="inlineStr">
        <is>
          <t>IONLUX</t>
        </is>
      </c>
      <c r="I367" s="19" t="n"/>
      <c r="J367" s="18">
        <f>IF(TRIM(F367)="","",IF(LEFT(TRIM(F367),2)="RM",IFERROR(IF(D367&gt;=DATE(2026,4,1),INDEX('LP RMH'!$F:$F,MATCH(TRIM(F367),'LP RMH'!$A:$A,0)),INDEX('LP RMH'!$E:$E,MATCH(TRIM(F367),'LP RMH'!$A:$A,0))),0),IFERROR(INDEX('LP MONCAR'!$E:$E,MATCH(TRIM(F367),'LP MONCAR'!$A:$A,0)),0)))</f>
        <v/>
      </c>
      <c r="K367" s="18">
        <f>IF(AND(ISNUMBER(G367),ISNUMBER(J367),G367&gt;0,J367&gt;0),G367*J367,"")</f>
        <v/>
      </c>
      <c r="L367" s="16">
        <f>IF(D367&lt;&gt;"",TEXT(D367,"YYYY-MM"),"")</f>
        <v/>
      </c>
      <c r="M367" s="16" t="n"/>
      <c r="N367" s="18">
        <f>IFERROR(IF(ISNUMBER(G367),G367*VLOOKUP(F367,Costos!$A$4:$E$320,5,0),0),0)</f>
        <v/>
      </c>
      <c r="O367" s="16">
        <f>IF(K367&lt;&gt;"",K367-N367,"")</f>
        <v/>
      </c>
      <c r="P367" s="16">
        <f>IFERROR(VLOOKUP(F367,'LP MONCAR'!$A$4:$C$500,3,0),"")</f>
        <v/>
      </c>
      <c r="Q367" s="16">
        <f>IFERROR(VLOOKUP(H367,Clientes!$A$2:$H$400,2,0),"")</f>
        <v/>
      </c>
      <c r="R367" s="16">
        <f>IFERROR(VLOOKUP(H367,Clientes!$A$2:$H$400,3,0),"")</f>
        <v/>
      </c>
      <c r="S367" s="16">
        <f>IFERROR(VLOOKUP(H367,Clientes!$A$2:$H$400,4,0),"")</f>
        <v/>
      </c>
      <c r="T367" s="16">
        <f>IFERROR(VLOOKUP(H367,Clientes!$A$2:$H$400,5,0),"")</f>
        <v/>
      </c>
      <c r="U367" s="16">
        <f>IFERROR(VLOOKUP(F367,'LP MONCAR'!$A$4:$D$500,4,0),"")</f>
        <v/>
      </c>
    </row>
    <row r="368">
      <c r="A368" s="37" t="n"/>
      <c r="B368" s="16" t="n">
        <v>1769</v>
      </c>
      <c r="C368" s="16" t="inlineStr">
        <is>
          <t>Maxi</t>
        </is>
      </c>
      <c r="D368" s="17" t="n">
        <v>46042</v>
      </c>
      <c r="E368" s="16">
        <f>IFERROR(IF(LEFT(F368,2)="RM","RMH","MONCAR"),"")</f>
        <v/>
      </c>
      <c r="F368" s="16" t="inlineStr">
        <is>
          <t>RM 023</t>
        </is>
      </c>
      <c r="G368" s="16" t="n">
        <v>10</v>
      </c>
      <c r="H368" s="16" t="inlineStr">
        <is>
          <t>GLACIAR</t>
        </is>
      </c>
      <c r="I368" s="19" t="n"/>
      <c r="J368" s="18">
        <f>IF(TRIM(F368)="","",IF(LEFT(TRIM(F368),2)="RM",IFERROR(IF(D368&gt;=DATE(2026,4,1),INDEX('LP RMH'!$F:$F,MATCH(TRIM(F368),'LP RMH'!$A:$A,0)),INDEX('LP RMH'!$E:$E,MATCH(TRIM(F368),'LP RMH'!$A:$A,0))),0),IFERROR(INDEX('LP MONCAR'!$E:$E,MATCH(TRIM(F368),'LP MONCAR'!$A:$A,0)),0)))</f>
        <v/>
      </c>
      <c r="K368" s="18">
        <f>IF(AND(ISNUMBER(G368),ISNUMBER(J368),G368&gt;0,J368&gt;0),G368*J368,"")</f>
        <v/>
      </c>
      <c r="L368" s="16">
        <f>IF(D368&lt;&gt;"",TEXT(D368,"YYYY-MM"),"")</f>
        <v/>
      </c>
      <c r="M368" s="16" t="n"/>
      <c r="N368" s="18">
        <f>IFERROR(IF(ISNUMBER(G368),G368*VLOOKUP(F368,Costos!$A$4:$E$320,5,0),0),0)</f>
        <v/>
      </c>
      <c r="O368" s="16">
        <f>IF(K368&lt;&gt;"",K368-N368,"")</f>
        <v/>
      </c>
      <c r="P368" s="16">
        <f>IFERROR(VLOOKUP(F368,'LP MONCAR'!$A$4:$C$500,3,0),"")</f>
        <v/>
      </c>
      <c r="Q368" s="16">
        <f>IFERROR(VLOOKUP(H368,Clientes!$A$2:$H$400,2,0),"")</f>
        <v/>
      </c>
      <c r="R368" s="16">
        <f>IFERROR(VLOOKUP(H368,Clientes!$A$2:$H$400,3,0),"")</f>
        <v/>
      </c>
      <c r="S368" s="16">
        <f>IFERROR(VLOOKUP(H368,Clientes!$A$2:$H$400,4,0),"")</f>
        <v/>
      </c>
      <c r="T368" s="16">
        <f>IFERROR(VLOOKUP(H368,Clientes!$A$2:$H$400,5,0),"")</f>
        <v/>
      </c>
      <c r="U368" s="16">
        <f>IFERROR(VLOOKUP(F368,'LP MONCAR'!$A$4:$D$500,4,0),"")</f>
        <v/>
      </c>
    </row>
    <row r="369">
      <c r="A369" s="37" t="n"/>
      <c r="B369" s="16" t="n">
        <v>1769</v>
      </c>
      <c r="C369" s="16" t="inlineStr">
        <is>
          <t>Maxi</t>
        </is>
      </c>
      <c r="D369" s="17" t="n">
        <v>46042</v>
      </c>
      <c r="E369" s="16">
        <f>IFERROR(IF(LEFT(F369,2)="RM","RMH","MONCAR"),"")</f>
        <v/>
      </c>
      <c r="F369" s="16" t="inlineStr">
        <is>
          <t>RM 035</t>
        </is>
      </c>
      <c r="G369" s="16" t="n">
        <v>10</v>
      </c>
      <c r="H369" s="16" t="inlineStr">
        <is>
          <t>GLACIAR</t>
        </is>
      </c>
      <c r="I369" s="19" t="n"/>
      <c r="J369" s="18">
        <f>IF(TRIM(F369)="","",IF(LEFT(TRIM(F369),2)="RM",IFERROR(IF(D369&gt;=DATE(2026,4,1),INDEX('LP RMH'!$F:$F,MATCH(TRIM(F369),'LP RMH'!$A:$A,0)),INDEX('LP RMH'!$E:$E,MATCH(TRIM(F369),'LP RMH'!$A:$A,0))),0),IFERROR(INDEX('LP MONCAR'!$E:$E,MATCH(TRIM(F369),'LP MONCAR'!$A:$A,0)),0)))</f>
        <v/>
      </c>
      <c r="K369" s="18">
        <f>IF(AND(ISNUMBER(G369),ISNUMBER(J369),G369&gt;0,J369&gt;0),G369*J369,"")</f>
        <v/>
      </c>
      <c r="L369" s="16">
        <f>IF(D369&lt;&gt;"",TEXT(D369,"YYYY-MM"),"")</f>
        <v/>
      </c>
      <c r="M369" s="16" t="n"/>
      <c r="N369" s="18">
        <f>IFERROR(IF(ISNUMBER(G369),G369*VLOOKUP(F369,Costos!$A$4:$E$320,5,0),0),0)</f>
        <v/>
      </c>
      <c r="O369" s="16">
        <f>IF(K369&lt;&gt;"",K369-N369,"")</f>
        <v/>
      </c>
      <c r="P369" s="16">
        <f>IFERROR(VLOOKUP(F369,'LP MONCAR'!$A$4:$C$500,3,0),"")</f>
        <v/>
      </c>
      <c r="Q369" s="16">
        <f>IFERROR(VLOOKUP(H369,Clientes!$A$2:$H$400,2,0),"")</f>
        <v/>
      </c>
      <c r="R369" s="16">
        <f>IFERROR(VLOOKUP(H369,Clientes!$A$2:$H$400,3,0),"")</f>
        <v/>
      </c>
      <c r="S369" s="16">
        <f>IFERROR(VLOOKUP(H369,Clientes!$A$2:$H$400,4,0),"")</f>
        <v/>
      </c>
      <c r="T369" s="16">
        <f>IFERROR(VLOOKUP(H369,Clientes!$A$2:$H$400,5,0),"")</f>
        <v/>
      </c>
      <c r="U369" s="16">
        <f>IFERROR(VLOOKUP(F369,'LP MONCAR'!$A$4:$D$500,4,0),"")</f>
        <v/>
      </c>
    </row>
    <row r="370">
      <c r="A370" s="37" t="n"/>
      <c r="B370" s="16" t="n">
        <v>1769</v>
      </c>
      <c r="C370" s="16" t="inlineStr">
        <is>
          <t>Maxi</t>
        </is>
      </c>
      <c r="D370" s="17" t="n">
        <v>46042</v>
      </c>
      <c r="E370" s="16">
        <f>IFERROR(IF(LEFT(F370,2)="RM","RMH","MONCAR"),"")</f>
        <v/>
      </c>
      <c r="F370" s="16" t="inlineStr">
        <is>
          <t>RM 040</t>
        </is>
      </c>
      <c r="G370" s="16" t="n">
        <v>10</v>
      </c>
      <c r="H370" s="16" t="inlineStr">
        <is>
          <t>GLACIAR</t>
        </is>
      </c>
      <c r="I370" s="19" t="n"/>
      <c r="J370" s="18">
        <f>IF(TRIM(F370)="","",IF(LEFT(TRIM(F370),2)="RM",IFERROR(IF(D370&gt;=DATE(2026,4,1),INDEX('LP RMH'!$F:$F,MATCH(TRIM(F370),'LP RMH'!$A:$A,0)),INDEX('LP RMH'!$E:$E,MATCH(TRIM(F370),'LP RMH'!$A:$A,0))),0),IFERROR(INDEX('LP MONCAR'!$E:$E,MATCH(TRIM(F370),'LP MONCAR'!$A:$A,0)),0)))</f>
        <v/>
      </c>
      <c r="K370" s="18">
        <f>IF(AND(ISNUMBER(G370),ISNUMBER(J370),G370&gt;0,J370&gt;0),G370*J370,"")</f>
        <v/>
      </c>
      <c r="L370" s="16">
        <f>IF(D370&lt;&gt;"",TEXT(D370,"YYYY-MM"),"")</f>
        <v/>
      </c>
      <c r="M370" s="16" t="n"/>
      <c r="N370" s="18">
        <f>IFERROR(IF(ISNUMBER(G370),G370*VLOOKUP(F370,Costos!$A$4:$E$320,5,0),0),0)</f>
        <v/>
      </c>
      <c r="O370" s="16">
        <f>IF(K370&lt;&gt;"",K370-N370,"")</f>
        <v/>
      </c>
      <c r="P370" s="16">
        <f>IFERROR(VLOOKUP(F370,'LP MONCAR'!$A$4:$C$500,3,0),"")</f>
        <v/>
      </c>
      <c r="Q370" s="16">
        <f>IFERROR(VLOOKUP(H370,Clientes!$A$2:$H$400,2,0),"")</f>
        <v/>
      </c>
      <c r="R370" s="16">
        <f>IFERROR(VLOOKUP(H370,Clientes!$A$2:$H$400,3,0),"")</f>
        <v/>
      </c>
      <c r="S370" s="16">
        <f>IFERROR(VLOOKUP(H370,Clientes!$A$2:$H$400,4,0),"")</f>
        <v/>
      </c>
      <c r="T370" s="16">
        <f>IFERROR(VLOOKUP(H370,Clientes!$A$2:$H$400,5,0),"")</f>
        <v/>
      </c>
      <c r="U370" s="16">
        <f>IFERROR(VLOOKUP(F370,'LP MONCAR'!$A$4:$D$500,4,0),"")</f>
        <v/>
      </c>
    </row>
    <row r="371">
      <c r="A371" s="37" t="n"/>
      <c r="B371" s="16" t="n">
        <v>1769</v>
      </c>
      <c r="C371" s="16" t="inlineStr">
        <is>
          <t>Maxi</t>
        </is>
      </c>
      <c r="D371" s="17" t="n">
        <v>46042</v>
      </c>
      <c r="E371" s="16">
        <f>IFERROR(IF(LEFT(F371,2)="RM","RMH","MONCAR"),"")</f>
        <v/>
      </c>
      <c r="F371" s="16" t="inlineStr">
        <is>
          <t>RM 101</t>
        </is>
      </c>
      <c r="G371" s="16" t="n">
        <v>3</v>
      </c>
      <c r="H371" s="16" t="inlineStr">
        <is>
          <t>GLACIAR</t>
        </is>
      </c>
      <c r="I371" s="19" t="n"/>
      <c r="J371" s="18">
        <f>IF(TRIM(F371)="","",IF(LEFT(TRIM(F371),2)="RM",IFERROR(IF(D371&gt;=DATE(2026,4,1),INDEX('LP RMH'!$F:$F,MATCH(TRIM(F371),'LP RMH'!$A:$A,0)),INDEX('LP RMH'!$E:$E,MATCH(TRIM(F371),'LP RMH'!$A:$A,0))),0),IFERROR(INDEX('LP MONCAR'!$E:$E,MATCH(TRIM(F371),'LP MONCAR'!$A:$A,0)),0)))</f>
        <v/>
      </c>
      <c r="K371" s="18">
        <f>IF(AND(ISNUMBER(G371),ISNUMBER(J371),G371&gt;0,J371&gt;0),G371*J371,"")</f>
        <v/>
      </c>
      <c r="L371" s="16">
        <f>IF(D371&lt;&gt;"",TEXT(D371,"YYYY-MM"),"")</f>
        <v/>
      </c>
      <c r="M371" s="16" t="n"/>
      <c r="N371" s="18">
        <f>IFERROR(IF(ISNUMBER(G371),G371*VLOOKUP(F371,Costos!$A$4:$E$320,5,0),0),0)</f>
        <v/>
      </c>
      <c r="O371" s="16">
        <f>IF(K371&lt;&gt;"",K371-N371,"")</f>
        <v/>
      </c>
      <c r="P371" s="16">
        <f>IFERROR(VLOOKUP(F371,'LP MONCAR'!$A$4:$C$500,3,0),"")</f>
        <v/>
      </c>
      <c r="Q371" s="16">
        <f>IFERROR(VLOOKUP(H371,Clientes!$A$2:$H$400,2,0),"")</f>
        <v/>
      </c>
      <c r="R371" s="16">
        <f>IFERROR(VLOOKUP(H371,Clientes!$A$2:$H$400,3,0),"")</f>
        <v/>
      </c>
      <c r="S371" s="16">
        <f>IFERROR(VLOOKUP(H371,Clientes!$A$2:$H$400,4,0),"")</f>
        <v/>
      </c>
      <c r="T371" s="16">
        <f>IFERROR(VLOOKUP(H371,Clientes!$A$2:$H$400,5,0),"")</f>
        <v/>
      </c>
      <c r="U371" s="16">
        <f>IFERROR(VLOOKUP(F371,'LP MONCAR'!$A$4:$D$500,4,0),"")</f>
        <v/>
      </c>
    </row>
    <row r="372">
      <c r="A372" s="37" t="n"/>
      <c r="B372" s="16" t="n">
        <v>1769</v>
      </c>
      <c r="C372" s="16" t="inlineStr">
        <is>
          <t>Maxi</t>
        </is>
      </c>
      <c r="D372" s="17" t="n">
        <v>46042</v>
      </c>
      <c r="E372" s="16">
        <f>IFERROR(IF(LEFT(F372,2)="RM","RMH","MONCAR"),"")</f>
        <v/>
      </c>
      <c r="F372" s="16" t="inlineStr">
        <is>
          <t>RM 102</t>
        </is>
      </c>
      <c r="G372" s="16" t="n">
        <v>3</v>
      </c>
      <c r="H372" s="16" t="inlineStr">
        <is>
          <t>GLACIAR</t>
        </is>
      </c>
      <c r="I372" s="19" t="n"/>
      <c r="J372" s="18">
        <f>IF(TRIM(F372)="","",IF(LEFT(TRIM(F372),2)="RM",IFERROR(IF(D372&gt;=DATE(2026,4,1),INDEX('LP RMH'!$F:$F,MATCH(TRIM(F372),'LP RMH'!$A:$A,0)),INDEX('LP RMH'!$E:$E,MATCH(TRIM(F372),'LP RMH'!$A:$A,0))),0),IFERROR(INDEX('LP MONCAR'!$E:$E,MATCH(TRIM(F372),'LP MONCAR'!$A:$A,0)),0)))</f>
        <v/>
      </c>
      <c r="K372" s="18">
        <f>IF(AND(ISNUMBER(G372),ISNUMBER(J372),G372&gt;0,J372&gt;0),G372*J372,"")</f>
        <v/>
      </c>
      <c r="L372" s="16">
        <f>IF(D372&lt;&gt;"",TEXT(D372,"YYYY-MM"),"")</f>
        <v/>
      </c>
      <c r="M372" s="16" t="n"/>
      <c r="N372" s="18">
        <f>IFERROR(IF(ISNUMBER(G372),G372*VLOOKUP(F372,Costos!$A$4:$E$320,5,0),0),0)</f>
        <v/>
      </c>
      <c r="O372" s="16">
        <f>IF(K372&lt;&gt;"",K372-N372,"")</f>
        <v/>
      </c>
      <c r="P372" s="16">
        <f>IFERROR(VLOOKUP(F372,'LP MONCAR'!$A$4:$C$500,3,0),"")</f>
        <v/>
      </c>
      <c r="Q372" s="16">
        <f>IFERROR(VLOOKUP(H372,Clientes!$A$2:$H$400,2,0),"")</f>
        <v/>
      </c>
      <c r="R372" s="16">
        <f>IFERROR(VLOOKUP(H372,Clientes!$A$2:$H$400,3,0),"")</f>
        <v/>
      </c>
      <c r="S372" s="16">
        <f>IFERROR(VLOOKUP(H372,Clientes!$A$2:$H$400,4,0),"")</f>
        <v/>
      </c>
      <c r="T372" s="16">
        <f>IFERROR(VLOOKUP(H372,Clientes!$A$2:$H$400,5,0),"")</f>
        <v/>
      </c>
      <c r="U372" s="16">
        <f>IFERROR(VLOOKUP(F372,'LP MONCAR'!$A$4:$D$500,4,0),"")</f>
        <v/>
      </c>
    </row>
    <row r="373">
      <c r="A373" s="37" t="n"/>
      <c r="B373" s="16" t="n">
        <v>1770</v>
      </c>
      <c r="C373" s="16" t="inlineStr">
        <is>
          <t>Maxi</t>
        </is>
      </c>
      <c r="D373" s="17" t="n">
        <v>46042</v>
      </c>
      <c r="E373" s="16">
        <f>IFERROR(IF(LEFT(F373,2)="RM","RMH","MONCAR"),"")</f>
        <v/>
      </c>
      <c r="F373" s="16" t="inlineStr">
        <is>
          <t>RM 023</t>
        </is>
      </c>
      <c r="G373" s="16" t="n">
        <v>10</v>
      </c>
      <c r="H373" s="16" t="inlineStr">
        <is>
          <t>EL REFUGIO</t>
        </is>
      </c>
      <c r="I373" s="19" t="n"/>
      <c r="J373" s="18">
        <f>IF(TRIM(F373)="","",IF(LEFT(TRIM(F373),2)="RM",IFERROR(IF(D373&gt;=DATE(2026,4,1),INDEX('LP RMH'!$F:$F,MATCH(TRIM(F373),'LP RMH'!$A:$A,0)),INDEX('LP RMH'!$E:$E,MATCH(TRIM(F373),'LP RMH'!$A:$A,0))),0),IFERROR(INDEX('LP MONCAR'!$E:$E,MATCH(TRIM(F373),'LP MONCAR'!$A:$A,0)),0)))</f>
        <v/>
      </c>
      <c r="K373" s="18">
        <f>IF(AND(ISNUMBER(G373),ISNUMBER(J373),G373&gt;0,J373&gt;0),G373*J373,"")</f>
        <v/>
      </c>
      <c r="L373" s="16">
        <f>IF(D373&lt;&gt;"",TEXT(D373,"YYYY-MM"),"")</f>
        <v/>
      </c>
      <c r="M373" s="16" t="n"/>
      <c r="N373" s="18">
        <f>IFERROR(IF(ISNUMBER(G373),G373*VLOOKUP(F373,Costos!$A$4:$E$320,5,0),0),0)</f>
        <v/>
      </c>
      <c r="O373" s="16">
        <f>IF(K373&lt;&gt;"",K373-N373,"")</f>
        <v/>
      </c>
      <c r="P373" s="16">
        <f>IFERROR(VLOOKUP(F373,'LP MONCAR'!$A$4:$C$500,3,0),"")</f>
        <v/>
      </c>
      <c r="Q373" s="16">
        <f>IFERROR(VLOOKUP(H373,Clientes!$A$2:$H$400,2,0),"")</f>
        <v/>
      </c>
      <c r="R373" s="16">
        <f>IFERROR(VLOOKUP(H373,Clientes!$A$2:$H$400,3,0),"")</f>
        <v/>
      </c>
      <c r="S373" s="16">
        <f>IFERROR(VLOOKUP(H373,Clientes!$A$2:$H$400,4,0),"")</f>
        <v/>
      </c>
      <c r="T373" s="16">
        <f>IFERROR(VLOOKUP(H373,Clientes!$A$2:$H$400,5,0),"")</f>
        <v/>
      </c>
      <c r="U373" s="16">
        <f>IFERROR(VLOOKUP(F373,'LP MONCAR'!$A$4:$D$500,4,0),"")</f>
        <v/>
      </c>
    </row>
    <row r="374">
      <c r="A374" s="37" t="n"/>
      <c r="B374" s="16" t="n">
        <v>1770</v>
      </c>
      <c r="C374" s="16" t="inlineStr">
        <is>
          <t>Maxi</t>
        </is>
      </c>
      <c r="D374" s="17" t="n">
        <v>46042</v>
      </c>
      <c r="E374" s="16">
        <f>IFERROR(IF(LEFT(F374,2)="RM","RMH","MONCAR"),"")</f>
        <v/>
      </c>
      <c r="F374" s="16" t="inlineStr">
        <is>
          <t>RM 400</t>
        </is>
      </c>
      <c r="G374" s="16" t="n">
        <v>1</v>
      </c>
      <c r="H374" s="16" t="inlineStr">
        <is>
          <t>EL REFUGIO</t>
        </is>
      </c>
      <c r="I374" s="19" t="n"/>
      <c r="J374" s="18">
        <f>IF(TRIM(F374)="","",IF(LEFT(TRIM(F374),2)="RM",IFERROR(IF(D374&gt;=DATE(2026,4,1),INDEX('LP RMH'!$F:$F,MATCH(TRIM(F374),'LP RMH'!$A:$A,0)),INDEX('LP RMH'!$E:$E,MATCH(TRIM(F374),'LP RMH'!$A:$A,0))),0),IFERROR(INDEX('LP MONCAR'!$E:$E,MATCH(TRIM(F374),'LP MONCAR'!$A:$A,0)),0)))</f>
        <v/>
      </c>
      <c r="K374" s="18">
        <f>IF(AND(ISNUMBER(G374),ISNUMBER(J374),G374&gt;0,J374&gt;0),G374*J374,"")</f>
        <v/>
      </c>
      <c r="L374" s="16">
        <f>IF(D374&lt;&gt;"",TEXT(D374,"YYYY-MM"),"")</f>
        <v/>
      </c>
      <c r="M374" s="16" t="n"/>
      <c r="N374" s="18">
        <f>IFERROR(IF(ISNUMBER(G374),G374*VLOOKUP(F374,Costos!$A$4:$E$320,5,0),0),0)</f>
        <v/>
      </c>
      <c r="O374" s="16">
        <f>IF(K374&lt;&gt;"",K374-N374,"")</f>
        <v/>
      </c>
      <c r="P374" s="16">
        <f>IFERROR(VLOOKUP(F374,'LP MONCAR'!$A$4:$C$500,3,0),"")</f>
        <v/>
      </c>
      <c r="Q374" s="16">
        <f>IFERROR(VLOOKUP(H374,Clientes!$A$2:$H$400,2,0),"")</f>
        <v/>
      </c>
      <c r="R374" s="16">
        <f>IFERROR(VLOOKUP(H374,Clientes!$A$2:$H$400,3,0),"")</f>
        <v/>
      </c>
      <c r="S374" s="16">
        <f>IFERROR(VLOOKUP(H374,Clientes!$A$2:$H$400,4,0),"")</f>
        <v/>
      </c>
      <c r="T374" s="16">
        <f>IFERROR(VLOOKUP(H374,Clientes!$A$2:$H$400,5,0),"")</f>
        <v/>
      </c>
      <c r="U374" s="16">
        <f>IFERROR(VLOOKUP(F374,'LP MONCAR'!$A$4:$D$500,4,0),"")</f>
        <v/>
      </c>
    </row>
    <row r="375">
      <c r="A375" s="37" t="n"/>
      <c r="B375" s="16" t="n">
        <v>1770</v>
      </c>
      <c r="C375" s="16" t="inlineStr">
        <is>
          <t>Maxi</t>
        </is>
      </c>
      <c r="D375" s="17" t="n">
        <v>46042</v>
      </c>
      <c r="E375" s="16">
        <f>IFERROR(IF(LEFT(F375,2)="RM","RMH","MONCAR"),"")</f>
        <v/>
      </c>
      <c r="F375" s="16" t="inlineStr">
        <is>
          <t>RM 401</t>
        </is>
      </c>
      <c r="G375" s="16" t="n">
        <v>2</v>
      </c>
      <c r="H375" s="16" t="inlineStr">
        <is>
          <t>EL REFUGIO</t>
        </is>
      </c>
      <c r="I375" s="19" t="n"/>
      <c r="J375" s="18">
        <f>IF(TRIM(F375)="","",IF(LEFT(TRIM(F375),2)="RM",IFERROR(IF(D375&gt;=DATE(2026,4,1),INDEX('LP RMH'!$F:$F,MATCH(TRIM(F375),'LP RMH'!$A:$A,0)),INDEX('LP RMH'!$E:$E,MATCH(TRIM(F375),'LP RMH'!$A:$A,0))),0),IFERROR(INDEX('LP MONCAR'!$E:$E,MATCH(TRIM(F375),'LP MONCAR'!$A:$A,0)),0)))</f>
        <v/>
      </c>
      <c r="K375" s="18">
        <f>IF(AND(ISNUMBER(G375),ISNUMBER(J375),G375&gt;0,J375&gt;0),G375*J375,"")</f>
        <v/>
      </c>
      <c r="L375" s="16">
        <f>IF(D375&lt;&gt;"",TEXT(D375,"YYYY-MM"),"")</f>
        <v/>
      </c>
      <c r="M375" s="16" t="n"/>
      <c r="N375" s="18">
        <f>IFERROR(IF(ISNUMBER(G375),G375*VLOOKUP(F375,Costos!$A$4:$E$320,5,0),0),0)</f>
        <v/>
      </c>
      <c r="O375" s="16">
        <f>IF(K375&lt;&gt;"",K375-N375,"")</f>
        <v/>
      </c>
      <c r="P375" s="16">
        <f>IFERROR(VLOOKUP(F375,'LP MONCAR'!$A$4:$C$500,3,0),"")</f>
        <v/>
      </c>
      <c r="Q375" s="16">
        <f>IFERROR(VLOOKUP(H375,Clientes!$A$2:$H$400,2,0),"")</f>
        <v/>
      </c>
      <c r="R375" s="16">
        <f>IFERROR(VLOOKUP(H375,Clientes!$A$2:$H$400,3,0),"")</f>
        <v/>
      </c>
      <c r="S375" s="16">
        <f>IFERROR(VLOOKUP(H375,Clientes!$A$2:$H$400,4,0),"")</f>
        <v/>
      </c>
      <c r="T375" s="16">
        <f>IFERROR(VLOOKUP(H375,Clientes!$A$2:$H$400,5,0),"")</f>
        <v/>
      </c>
      <c r="U375" s="16">
        <f>IFERROR(VLOOKUP(F375,'LP MONCAR'!$A$4:$D$500,4,0),"")</f>
        <v/>
      </c>
    </row>
    <row r="376">
      <c r="A376" s="37" t="n"/>
      <c r="B376" s="16" t="n">
        <v>1771</v>
      </c>
      <c r="C376" s="16" t="inlineStr">
        <is>
          <t>Maxi</t>
        </is>
      </c>
      <c r="D376" s="17" t="n">
        <v>46043</v>
      </c>
      <c r="E376" s="16">
        <f>IFERROR(IF(LEFT(F376,2)="RM","RMH","MONCAR"),"")</f>
        <v/>
      </c>
      <c r="F376" s="16" t="inlineStr">
        <is>
          <t>RM 023</t>
        </is>
      </c>
      <c r="G376" s="16" t="n">
        <v>5</v>
      </c>
      <c r="H376" s="16" t="inlineStr">
        <is>
          <t>ELECTROMECANICA DIAMANTE</t>
        </is>
      </c>
      <c r="I376" s="19" t="n"/>
      <c r="J376" s="18">
        <f>IF(TRIM(F376)="","",IF(LEFT(TRIM(F376),2)="RM",IFERROR(IF(D376&gt;=DATE(2026,4,1),INDEX('LP RMH'!$F:$F,MATCH(TRIM(F376),'LP RMH'!$A:$A,0)),INDEX('LP RMH'!$E:$E,MATCH(TRIM(F376),'LP RMH'!$A:$A,0))),0),IFERROR(INDEX('LP MONCAR'!$E:$E,MATCH(TRIM(F376),'LP MONCAR'!$A:$A,0)),0)))</f>
        <v/>
      </c>
      <c r="K376" s="18">
        <f>IF(AND(ISNUMBER(G376),ISNUMBER(J376),G376&gt;0,J376&gt;0),G376*J376,"")</f>
        <v/>
      </c>
      <c r="L376" s="16">
        <f>IF(D376&lt;&gt;"",TEXT(D376,"YYYY-MM"),"")</f>
        <v/>
      </c>
      <c r="M376" s="16" t="n"/>
      <c r="N376" s="18">
        <f>IFERROR(IF(ISNUMBER(G376),G376*VLOOKUP(F376,Costos!$A$4:$E$320,5,0),0),0)</f>
        <v/>
      </c>
      <c r="O376" s="16">
        <f>IF(K376&lt;&gt;"",K376-N376,"")</f>
        <v/>
      </c>
      <c r="P376" s="16">
        <f>IFERROR(VLOOKUP(F376,'LP MONCAR'!$A$4:$C$500,3,0),"")</f>
        <v/>
      </c>
      <c r="Q376" s="16">
        <f>IFERROR(VLOOKUP(H376,Clientes!$A$2:$H$400,2,0),"")</f>
        <v/>
      </c>
      <c r="R376" s="16">
        <f>IFERROR(VLOOKUP(H376,Clientes!$A$2:$H$400,3,0),"")</f>
        <v/>
      </c>
      <c r="S376" s="16">
        <f>IFERROR(VLOOKUP(H376,Clientes!$A$2:$H$400,4,0),"")</f>
        <v/>
      </c>
      <c r="T376" s="16">
        <f>IFERROR(VLOOKUP(H376,Clientes!$A$2:$H$400,5,0),"")</f>
        <v/>
      </c>
      <c r="U376" s="16">
        <f>IFERROR(VLOOKUP(F376,'LP MONCAR'!$A$4:$D$500,4,0),"")</f>
        <v/>
      </c>
    </row>
    <row r="377">
      <c r="A377" s="37" t="n"/>
      <c r="B377" s="16" t="n">
        <v>1772</v>
      </c>
      <c r="C377" s="16" t="inlineStr">
        <is>
          <t>Maxi</t>
        </is>
      </c>
      <c r="D377" s="17" t="n">
        <v>46049</v>
      </c>
      <c r="E377" s="16">
        <f>IFERROR(IF(LEFT(F377,2)="RM","RMH","MONCAR"),"")</f>
        <v/>
      </c>
      <c r="F377" s="16" t="inlineStr">
        <is>
          <t>RM 022</t>
        </is>
      </c>
      <c r="G377" s="16" t="n">
        <v>4</v>
      </c>
      <c r="H377" s="16" t="inlineStr">
        <is>
          <t>MONSALVO</t>
        </is>
      </c>
      <c r="I377" s="19" t="n"/>
      <c r="J377" s="18">
        <f>IF(TRIM(F377)="","",IF(LEFT(TRIM(F377),2)="RM",IFERROR(IF(D377&gt;=DATE(2026,4,1),INDEX('LP RMH'!$F:$F,MATCH(TRIM(F377),'LP RMH'!$A:$A,0)),INDEX('LP RMH'!$E:$E,MATCH(TRIM(F377),'LP RMH'!$A:$A,0))),0),IFERROR(INDEX('LP MONCAR'!$E:$E,MATCH(TRIM(F377),'LP MONCAR'!$A:$A,0)),0)))</f>
        <v/>
      </c>
      <c r="K377" s="18">
        <f>IF(AND(ISNUMBER(G377),ISNUMBER(J377),G377&gt;0,J377&gt;0),G377*J377,"")</f>
        <v/>
      </c>
      <c r="L377" s="16">
        <f>IF(D377&lt;&gt;"",TEXT(D377,"YYYY-MM"),"")</f>
        <v/>
      </c>
      <c r="M377" s="16" t="n"/>
      <c r="N377" s="18">
        <f>IFERROR(IF(ISNUMBER(G377),G377*VLOOKUP(F377,Costos!$A$4:$E$320,5,0),0),0)</f>
        <v/>
      </c>
      <c r="O377" s="16">
        <f>IF(K377&lt;&gt;"",K377-N377,"")</f>
        <v/>
      </c>
      <c r="P377" s="16">
        <f>IFERROR(VLOOKUP(F377,'LP MONCAR'!$A$4:$C$500,3,0),"")</f>
        <v/>
      </c>
      <c r="Q377" s="16">
        <f>IFERROR(VLOOKUP(H377,Clientes!$A$2:$H$400,2,0),"")</f>
        <v/>
      </c>
      <c r="R377" s="16">
        <f>IFERROR(VLOOKUP(H377,Clientes!$A$2:$H$400,3,0),"")</f>
        <v/>
      </c>
      <c r="S377" s="16">
        <f>IFERROR(VLOOKUP(H377,Clientes!$A$2:$H$400,4,0),"")</f>
        <v/>
      </c>
      <c r="T377" s="16">
        <f>IFERROR(VLOOKUP(H377,Clientes!$A$2:$H$400,5,0),"")</f>
        <v/>
      </c>
      <c r="U377" s="16">
        <f>IFERROR(VLOOKUP(F377,'LP MONCAR'!$A$4:$D$500,4,0),"")</f>
        <v/>
      </c>
    </row>
    <row r="378">
      <c r="A378" s="37" t="n"/>
      <c r="B378" s="16" t="n">
        <v>1772</v>
      </c>
      <c r="C378" s="16" t="inlineStr">
        <is>
          <t>Maxi</t>
        </is>
      </c>
      <c r="D378" s="17" t="n">
        <v>46049</v>
      </c>
      <c r="E378" s="16">
        <f>IFERROR(IF(LEFT(F378,2)="RM","RMH","MONCAR"),"")</f>
        <v/>
      </c>
      <c r="F378" s="16" t="inlineStr">
        <is>
          <t>RM 035</t>
        </is>
      </c>
      <c r="G378" s="16" t="n">
        <v>10</v>
      </c>
      <c r="H378" s="16" t="inlineStr">
        <is>
          <t>MONSALVO</t>
        </is>
      </c>
      <c r="I378" s="19" t="n"/>
      <c r="J378" s="18">
        <f>IF(TRIM(F378)="","",IF(LEFT(TRIM(F378),2)="RM",IFERROR(IF(D378&gt;=DATE(2026,4,1),INDEX('LP RMH'!$F:$F,MATCH(TRIM(F378),'LP RMH'!$A:$A,0)),INDEX('LP RMH'!$E:$E,MATCH(TRIM(F378),'LP RMH'!$A:$A,0))),0),IFERROR(INDEX('LP MONCAR'!$E:$E,MATCH(TRIM(F378),'LP MONCAR'!$A:$A,0)),0)))</f>
        <v/>
      </c>
      <c r="K378" s="18">
        <f>IF(AND(ISNUMBER(G378),ISNUMBER(J378),G378&gt;0,J378&gt;0),G378*J378,"")</f>
        <v/>
      </c>
      <c r="L378" s="16">
        <f>IF(D378&lt;&gt;"",TEXT(D378,"YYYY-MM"),"")</f>
        <v/>
      </c>
      <c r="M378" s="16" t="n"/>
      <c r="N378" s="18">
        <f>IFERROR(IF(ISNUMBER(G378),G378*VLOOKUP(F378,Costos!$A$4:$E$320,5,0),0),0)</f>
        <v/>
      </c>
      <c r="O378" s="16">
        <f>IF(K378&lt;&gt;"",K378-N378,"")</f>
        <v/>
      </c>
      <c r="P378" s="16">
        <f>IFERROR(VLOOKUP(F378,'LP MONCAR'!$A$4:$C$500,3,0),"")</f>
        <v/>
      </c>
      <c r="Q378" s="16">
        <f>IFERROR(VLOOKUP(H378,Clientes!$A$2:$H$400,2,0),"")</f>
        <v/>
      </c>
      <c r="R378" s="16">
        <f>IFERROR(VLOOKUP(H378,Clientes!$A$2:$H$400,3,0),"")</f>
        <v/>
      </c>
      <c r="S378" s="16">
        <f>IFERROR(VLOOKUP(H378,Clientes!$A$2:$H$400,4,0),"")</f>
        <v/>
      </c>
      <c r="T378" s="16">
        <f>IFERROR(VLOOKUP(H378,Clientes!$A$2:$H$400,5,0),"")</f>
        <v/>
      </c>
      <c r="U378" s="16">
        <f>IFERROR(VLOOKUP(F378,'LP MONCAR'!$A$4:$D$500,4,0),"")</f>
        <v/>
      </c>
    </row>
    <row r="379">
      <c r="A379" s="37" t="n"/>
      <c r="B379" s="16" t="n">
        <v>1772</v>
      </c>
      <c r="C379" s="16" t="inlineStr">
        <is>
          <t>Maxi</t>
        </is>
      </c>
      <c r="D379" s="17" t="n">
        <v>46049</v>
      </c>
      <c r="E379" s="16">
        <f>IFERROR(IF(LEFT(F379,2)="RM","RMH","MONCAR"),"")</f>
        <v/>
      </c>
      <c r="F379" s="16" t="inlineStr">
        <is>
          <t>RM 101</t>
        </is>
      </c>
      <c r="G379" s="16" t="n">
        <v>2</v>
      </c>
      <c r="H379" s="16" t="inlineStr">
        <is>
          <t>MONSALVO</t>
        </is>
      </c>
      <c r="I379" s="19" t="n"/>
      <c r="J379" s="18">
        <f>IF(TRIM(F379)="","",IF(LEFT(TRIM(F379),2)="RM",IFERROR(IF(D379&gt;=DATE(2026,4,1),INDEX('LP RMH'!$F:$F,MATCH(TRIM(F379),'LP RMH'!$A:$A,0)),INDEX('LP RMH'!$E:$E,MATCH(TRIM(F379),'LP RMH'!$A:$A,0))),0),IFERROR(INDEX('LP MONCAR'!$E:$E,MATCH(TRIM(F379),'LP MONCAR'!$A:$A,0)),0)))</f>
        <v/>
      </c>
      <c r="K379" s="18">
        <f>IF(AND(ISNUMBER(G379),ISNUMBER(J379),G379&gt;0,J379&gt;0),G379*J379,"")</f>
        <v/>
      </c>
      <c r="L379" s="16">
        <f>IF(D379&lt;&gt;"",TEXT(D379,"YYYY-MM"),"")</f>
        <v/>
      </c>
      <c r="M379" s="16" t="n"/>
      <c r="N379" s="18">
        <f>IFERROR(IF(ISNUMBER(G379),G379*VLOOKUP(F379,Costos!$A$4:$E$320,5,0),0),0)</f>
        <v/>
      </c>
      <c r="O379" s="16">
        <f>IF(K379&lt;&gt;"",K379-N379,"")</f>
        <v/>
      </c>
      <c r="P379" s="16">
        <f>IFERROR(VLOOKUP(F379,'LP MONCAR'!$A$4:$C$500,3,0),"")</f>
        <v/>
      </c>
      <c r="Q379" s="16">
        <f>IFERROR(VLOOKUP(H379,Clientes!$A$2:$H$400,2,0),"")</f>
        <v/>
      </c>
      <c r="R379" s="16">
        <f>IFERROR(VLOOKUP(H379,Clientes!$A$2:$H$400,3,0),"")</f>
        <v/>
      </c>
      <c r="S379" s="16">
        <f>IFERROR(VLOOKUP(H379,Clientes!$A$2:$H$400,4,0),"")</f>
        <v/>
      </c>
      <c r="T379" s="16">
        <f>IFERROR(VLOOKUP(H379,Clientes!$A$2:$H$400,5,0),"")</f>
        <v/>
      </c>
      <c r="U379" s="16">
        <f>IFERROR(VLOOKUP(F379,'LP MONCAR'!$A$4:$D$500,4,0),"")</f>
        <v/>
      </c>
    </row>
    <row r="380">
      <c r="A380" s="37" t="n"/>
      <c r="B380" s="16" t="n">
        <v>1772</v>
      </c>
      <c r="C380" s="16" t="inlineStr">
        <is>
          <t>Maxi</t>
        </is>
      </c>
      <c r="D380" s="17" t="n">
        <v>46049</v>
      </c>
      <c r="E380" s="16">
        <f>IFERROR(IF(LEFT(F380,2)="RM","RMH","MONCAR"),"")</f>
        <v/>
      </c>
      <c r="F380" s="16" t="inlineStr">
        <is>
          <t>RM 416</t>
        </is>
      </c>
      <c r="G380" s="16" t="n">
        <v>1</v>
      </c>
      <c r="H380" s="16" t="inlineStr">
        <is>
          <t>MONSALVO</t>
        </is>
      </c>
      <c r="I380" s="19" t="n"/>
      <c r="J380" s="18">
        <f>IF(TRIM(F380)="","",IF(LEFT(TRIM(F380),2)="RM",IFERROR(IF(D380&gt;=DATE(2026,4,1),INDEX('LP RMH'!$F:$F,MATCH(TRIM(F380),'LP RMH'!$A:$A,0)),INDEX('LP RMH'!$E:$E,MATCH(TRIM(F380),'LP RMH'!$A:$A,0))),0),IFERROR(INDEX('LP MONCAR'!$E:$E,MATCH(TRIM(F380),'LP MONCAR'!$A:$A,0)),0)))</f>
        <v/>
      </c>
      <c r="K380" s="18">
        <f>IF(AND(ISNUMBER(G380),ISNUMBER(J380),G380&gt;0,J380&gt;0),G380*J380,"")</f>
        <v/>
      </c>
      <c r="L380" s="16">
        <f>IF(D380&lt;&gt;"",TEXT(D380,"YYYY-MM"),"")</f>
        <v/>
      </c>
      <c r="M380" s="16" t="n"/>
      <c r="N380" s="18">
        <f>IFERROR(IF(ISNUMBER(G380),G380*VLOOKUP(F380,Costos!$A$4:$E$320,5,0),0),0)</f>
        <v/>
      </c>
      <c r="O380" s="16">
        <f>IF(K380&lt;&gt;"",K380-N380,"")</f>
        <v/>
      </c>
      <c r="P380" s="16">
        <f>IFERROR(VLOOKUP(F380,'LP MONCAR'!$A$4:$C$500,3,0),"")</f>
        <v/>
      </c>
      <c r="Q380" s="16">
        <f>IFERROR(VLOOKUP(H380,Clientes!$A$2:$H$400,2,0),"")</f>
        <v/>
      </c>
      <c r="R380" s="16">
        <f>IFERROR(VLOOKUP(H380,Clientes!$A$2:$H$400,3,0),"")</f>
        <v/>
      </c>
      <c r="S380" s="16">
        <f>IFERROR(VLOOKUP(H380,Clientes!$A$2:$H$400,4,0),"")</f>
        <v/>
      </c>
      <c r="T380" s="16">
        <f>IFERROR(VLOOKUP(H380,Clientes!$A$2:$H$400,5,0),"")</f>
        <v/>
      </c>
      <c r="U380" s="16">
        <f>IFERROR(VLOOKUP(F380,'LP MONCAR'!$A$4:$D$500,4,0),"")</f>
        <v/>
      </c>
    </row>
    <row r="381">
      <c r="A381" s="37" t="n"/>
      <c r="B381" s="16" t="n">
        <v>1773</v>
      </c>
      <c r="C381" s="16" t="inlineStr">
        <is>
          <t>Maxi</t>
        </is>
      </c>
      <c r="D381" s="17" t="n">
        <v>46049</v>
      </c>
      <c r="E381" s="16">
        <f>IFERROR(IF(LEFT(F381,2)="RM","RMH","MONCAR"),"")</f>
        <v/>
      </c>
      <c r="F381" s="16" t="inlineStr">
        <is>
          <t>RM 035</t>
        </is>
      </c>
      <c r="G381" s="16" t="n">
        <v>4</v>
      </c>
      <c r="H381" s="16" t="inlineStr">
        <is>
          <t>DANIEL POGGI</t>
        </is>
      </c>
      <c r="I381" s="19" t="n"/>
      <c r="J381" s="18">
        <f>IF(TRIM(F381)="","",IF(LEFT(TRIM(F381),2)="RM",IFERROR(IF(D381&gt;=DATE(2026,4,1),INDEX('LP RMH'!$F:$F,MATCH(TRIM(F381),'LP RMH'!$A:$A,0)),INDEX('LP RMH'!$E:$E,MATCH(TRIM(F381),'LP RMH'!$A:$A,0))),0),IFERROR(INDEX('LP MONCAR'!$E:$E,MATCH(TRIM(F381),'LP MONCAR'!$A:$A,0)),0)))</f>
        <v/>
      </c>
      <c r="K381" s="18">
        <f>IF(AND(ISNUMBER(G381),ISNUMBER(J381),G381&gt;0,J381&gt;0),G381*J381,"")</f>
        <v/>
      </c>
      <c r="L381" s="16">
        <f>IF(D381&lt;&gt;"",TEXT(D381,"YYYY-MM"),"")</f>
        <v/>
      </c>
      <c r="M381" s="16" t="n"/>
      <c r="N381" s="18">
        <f>IFERROR(IF(ISNUMBER(G381),G381*VLOOKUP(F381,Costos!$A$4:$E$320,5,0),0),0)</f>
        <v/>
      </c>
      <c r="O381" s="16">
        <f>IF(K381&lt;&gt;"",K381-N381,"")</f>
        <v/>
      </c>
      <c r="P381" s="16">
        <f>IFERROR(VLOOKUP(F381,'LP MONCAR'!$A$4:$C$500,3,0),"")</f>
        <v/>
      </c>
      <c r="Q381" s="16">
        <f>IFERROR(VLOOKUP(H381,Clientes!$A$2:$H$400,2,0),"")</f>
        <v/>
      </c>
      <c r="R381" s="16">
        <f>IFERROR(VLOOKUP(H381,Clientes!$A$2:$H$400,3,0),"")</f>
        <v/>
      </c>
      <c r="S381" s="16">
        <f>IFERROR(VLOOKUP(H381,Clientes!$A$2:$H$400,4,0),"")</f>
        <v/>
      </c>
      <c r="T381" s="16">
        <f>IFERROR(VLOOKUP(H381,Clientes!$A$2:$H$400,5,0),"")</f>
        <v/>
      </c>
      <c r="U381" s="16">
        <f>IFERROR(VLOOKUP(F381,'LP MONCAR'!$A$4:$D$500,4,0),"")</f>
        <v/>
      </c>
    </row>
    <row r="382">
      <c r="A382" s="37" t="n"/>
      <c r="B382" s="16" t="n">
        <v>1775</v>
      </c>
      <c r="C382" s="16" t="inlineStr">
        <is>
          <t>Maxi</t>
        </is>
      </c>
      <c r="D382" s="17" t="n">
        <v>46050</v>
      </c>
      <c r="E382" s="16">
        <f>IFERROR(IF(LEFT(F382,2)="RM","RMH","MONCAR"),"")</f>
        <v/>
      </c>
      <c r="F382" s="16" t="inlineStr">
        <is>
          <t>RM032</t>
        </is>
      </c>
      <c r="G382" s="16" t="n">
        <v>1</v>
      </c>
      <c r="H382" s="16" t="inlineStr">
        <is>
          <t>R.V.</t>
        </is>
      </c>
      <c r="I382" s="19" t="n"/>
      <c r="J382" s="18">
        <f>IF(TRIM(F382)="","",IF(LEFT(TRIM(F382),2)="RM",IFERROR(IF(D382&gt;=DATE(2026,4,1),INDEX('LP RMH'!$F:$F,MATCH(TRIM(F382),'LP RMH'!$A:$A,0)),INDEX('LP RMH'!$E:$E,MATCH(TRIM(F382),'LP RMH'!$A:$A,0))),0),IFERROR(INDEX('LP MONCAR'!$E:$E,MATCH(TRIM(F382),'LP MONCAR'!$A:$A,0)),0)))</f>
        <v/>
      </c>
      <c r="K382" s="18">
        <f>IF(AND(ISNUMBER(G382),ISNUMBER(J382),G382&gt;0,J382&gt;0),G382*J382,"")</f>
        <v/>
      </c>
      <c r="L382" s="16">
        <f>IF(D382&lt;&gt;"",TEXT(D382,"YYYY-MM"),"")</f>
        <v/>
      </c>
      <c r="M382" s="16" t="n"/>
      <c r="N382" s="18">
        <f>IFERROR(IF(ISNUMBER(G382),G382*VLOOKUP(F382,Costos!$A$4:$E$320,5,0),0),0)</f>
        <v/>
      </c>
      <c r="O382" s="16">
        <f>IF(K382&lt;&gt;"",K382-N382,"")</f>
        <v/>
      </c>
      <c r="P382" s="16">
        <f>IFERROR(VLOOKUP(F382,'LP MONCAR'!$A$4:$C$500,3,0),"")</f>
        <v/>
      </c>
      <c r="Q382" s="16">
        <f>IFERROR(VLOOKUP(H382,Clientes!$A$2:$H$400,2,0),"")</f>
        <v/>
      </c>
      <c r="R382" s="16">
        <f>IFERROR(VLOOKUP(H382,Clientes!$A$2:$H$400,3,0),"")</f>
        <v/>
      </c>
      <c r="S382" s="16">
        <f>IFERROR(VLOOKUP(H382,Clientes!$A$2:$H$400,4,0),"")</f>
        <v/>
      </c>
      <c r="T382" s="16">
        <f>IFERROR(VLOOKUP(H382,Clientes!$A$2:$H$400,5,0),"")</f>
        <v/>
      </c>
      <c r="U382" s="16">
        <f>IFERROR(VLOOKUP(F382,'LP MONCAR'!$A$4:$D$500,4,0),"")</f>
        <v/>
      </c>
    </row>
    <row r="383">
      <c r="A383" s="37" t="n"/>
      <c r="B383" s="16" t="n">
        <v>1775</v>
      </c>
      <c r="C383" s="16" t="inlineStr">
        <is>
          <t>Maxi</t>
        </is>
      </c>
      <c r="D383" s="17" t="n">
        <v>46050</v>
      </c>
      <c r="E383" s="16">
        <f>IFERROR(IF(LEFT(F383,2)="RM","RMH","MONCAR"),"")</f>
        <v/>
      </c>
      <c r="F383" s="16" t="inlineStr">
        <is>
          <t>RM 035</t>
        </is>
      </c>
      <c r="G383" s="16" t="n">
        <v>1</v>
      </c>
      <c r="H383" s="16" t="inlineStr">
        <is>
          <t>R.V.</t>
        </is>
      </c>
      <c r="I383" s="19" t="n"/>
      <c r="J383" s="18">
        <f>IF(TRIM(F383)="","",IF(LEFT(TRIM(F383),2)="RM",IFERROR(IF(D383&gt;=DATE(2026,4,1),INDEX('LP RMH'!$F:$F,MATCH(TRIM(F383),'LP RMH'!$A:$A,0)),INDEX('LP RMH'!$E:$E,MATCH(TRIM(F383),'LP RMH'!$A:$A,0))),0),IFERROR(INDEX('LP MONCAR'!$E:$E,MATCH(TRIM(F383),'LP MONCAR'!$A:$A,0)),0)))</f>
        <v/>
      </c>
      <c r="K383" s="18">
        <f>IF(AND(ISNUMBER(G383),ISNUMBER(J383),G383&gt;0,J383&gt;0),G383*J383,"")</f>
        <v/>
      </c>
      <c r="L383" s="16">
        <f>IF(D383&lt;&gt;"",TEXT(D383,"YYYY-MM"),"")</f>
        <v/>
      </c>
      <c r="M383" s="16" t="n"/>
      <c r="N383" s="18">
        <f>IFERROR(IF(ISNUMBER(G383),G383*VLOOKUP(F383,Costos!$A$4:$E$320,5,0),0),0)</f>
        <v/>
      </c>
      <c r="O383" s="16">
        <f>IF(K383&lt;&gt;"",K383-N383,"")</f>
        <v/>
      </c>
      <c r="P383" s="16">
        <f>IFERROR(VLOOKUP(F383,'LP MONCAR'!$A$4:$C$500,3,0),"")</f>
        <v/>
      </c>
      <c r="Q383" s="16">
        <f>IFERROR(VLOOKUP(H383,Clientes!$A$2:$H$400,2,0),"")</f>
        <v/>
      </c>
      <c r="R383" s="16">
        <f>IFERROR(VLOOKUP(H383,Clientes!$A$2:$H$400,3,0),"")</f>
        <v/>
      </c>
      <c r="S383" s="16">
        <f>IFERROR(VLOOKUP(H383,Clientes!$A$2:$H$400,4,0),"")</f>
        <v/>
      </c>
      <c r="T383" s="16">
        <f>IFERROR(VLOOKUP(H383,Clientes!$A$2:$H$400,5,0),"")</f>
        <v/>
      </c>
      <c r="U383" s="16">
        <f>IFERROR(VLOOKUP(F383,'LP MONCAR'!$A$4:$D$500,4,0),"")</f>
        <v/>
      </c>
    </row>
    <row r="384">
      <c r="A384" s="37" t="n"/>
      <c r="B384" s="16" t="n">
        <v>1775</v>
      </c>
      <c r="C384" s="16" t="inlineStr">
        <is>
          <t>Maxi</t>
        </is>
      </c>
      <c r="D384" s="17" t="n">
        <v>46050</v>
      </c>
      <c r="E384" s="16">
        <f>IFERROR(IF(LEFT(F384,2)="RM","RMH","MONCAR"),"")</f>
        <v/>
      </c>
      <c r="F384" s="16" t="inlineStr">
        <is>
          <t>RM 036</t>
        </is>
      </c>
      <c r="G384" s="16" t="n">
        <v>2</v>
      </c>
      <c r="H384" s="16" t="inlineStr">
        <is>
          <t>R.V.</t>
        </is>
      </c>
      <c r="I384" s="19" t="n"/>
      <c r="J384" s="18">
        <f>IF(TRIM(F384)="","",IF(LEFT(TRIM(F384),2)="RM",IFERROR(IF(D384&gt;=DATE(2026,4,1),INDEX('LP RMH'!$F:$F,MATCH(TRIM(F384),'LP RMH'!$A:$A,0)),INDEX('LP RMH'!$E:$E,MATCH(TRIM(F384),'LP RMH'!$A:$A,0))),0),IFERROR(INDEX('LP MONCAR'!$E:$E,MATCH(TRIM(F384),'LP MONCAR'!$A:$A,0)),0)))</f>
        <v/>
      </c>
      <c r="K384" s="18">
        <f>IF(AND(ISNUMBER(G384),ISNUMBER(J384),G384&gt;0,J384&gt;0),G384*J384,"")</f>
        <v/>
      </c>
      <c r="L384" s="16">
        <f>IF(D384&lt;&gt;"",TEXT(D384,"YYYY-MM"),"")</f>
        <v/>
      </c>
      <c r="M384" s="16" t="n"/>
      <c r="N384" s="18">
        <f>IFERROR(IF(ISNUMBER(G384),G384*VLOOKUP(F384,Costos!$A$4:$E$320,5,0),0),0)</f>
        <v/>
      </c>
      <c r="O384" s="16">
        <f>IF(K384&lt;&gt;"",K384-N384,"")</f>
        <v/>
      </c>
      <c r="P384" s="16">
        <f>IFERROR(VLOOKUP(F384,'LP MONCAR'!$A$4:$C$500,3,0),"")</f>
        <v/>
      </c>
      <c r="Q384" s="16">
        <f>IFERROR(VLOOKUP(H384,Clientes!$A$2:$H$400,2,0),"")</f>
        <v/>
      </c>
      <c r="R384" s="16">
        <f>IFERROR(VLOOKUP(H384,Clientes!$A$2:$H$400,3,0),"")</f>
        <v/>
      </c>
      <c r="S384" s="16">
        <f>IFERROR(VLOOKUP(H384,Clientes!$A$2:$H$400,4,0),"")</f>
        <v/>
      </c>
      <c r="T384" s="16">
        <f>IFERROR(VLOOKUP(H384,Clientes!$A$2:$H$400,5,0),"")</f>
        <v/>
      </c>
      <c r="U384" s="16">
        <f>IFERROR(VLOOKUP(F384,'LP MONCAR'!$A$4:$D$500,4,0),"")</f>
        <v/>
      </c>
    </row>
    <row r="385">
      <c r="A385" s="37" t="n"/>
      <c r="B385" s="16" t="n">
        <v>1775</v>
      </c>
      <c r="C385" s="16" t="inlineStr">
        <is>
          <t>Maxi</t>
        </is>
      </c>
      <c r="D385" s="17" t="n">
        <v>46050</v>
      </c>
      <c r="E385" s="16">
        <f>IFERROR(IF(LEFT(F385,2)="RM","RMH","MONCAR"),"")</f>
        <v/>
      </c>
      <c r="F385" s="16" t="inlineStr">
        <is>
          <t>RM 041</t>
        </is>
      </c>
      <c r="G385" s="16" t="n">
        <v>3</v>
      </c>
      <c r="H385" s="16" t="inlineStr">
        <is>
          <t>R.V.</t>
        </is>
      </c>
      <c r="I385" s="19" t="n"/>
      <c r="J385" s="18">
        <f>IF(TRIM(F385)="","",IF(LEFT(TRIM(F385),2)="RM",IFERROR(IF(D385&gt;=DATE(2026,4,1),INDEX('LP RMH'!$F:$F,MATCH(TRIM(F385),'LP RMH'!$A:$A,0)),INDEX('LP RMH'!$E:$E,MATCH(TRIM(F385),'LP RMH'!$A:$A,0))),0),IFERROR(INDEX('LP MONCAR'!$E:$E,MATCH(TRIM(F385),'LP MONCAR'!$A:$A,0)),0)))</f>
        <v/>
      </c>
      <c r="K385" s="18">
        <f>IF(AND(ISNUMBER(G385),ISNUMBER(J385),G385&gt;0,J385&gt;0),G385*J385,"")</f>
        <v/>
      </c>
      <c r="L385" s="16">
        <f>IF(D385&lt;&gt;"",TEXT(D385,"YYYY-MM"),"")</f>
        <v/>
      </c>
      <c r="M385" s="16" t="n"/>
      <c r="N385" s="18">
        <f>IFERROR(IF(ISNUMBER(G385),G385*VLOOKUP(F385,Costos!$A$4:$E$320,5,0),0),0)</f>
        <v/>
      </c>
      <c r="O385" s="16">
        <f>IF(K385&lt;&gt;"",K385-N385,"")</f>
        <v/>
      </c>
      <c r="P385" s="16">
        <f>IFERROR(VLOOKUP(F385,'LP MONCAR'!$A$4:$C$500,3,0),"")</f>
        <v/>
      </c>
      <c r="Q385" s="16">
        <f>IFERROR(VLOOKUP(H385,Clientes!$A$2:$H$400,2,0),"")</f>
        <v/>
      </c>
      <c r="R385" s="16">
        <f>IFERROR(VLOOKUP(H385,Clientes!$A$2:$H$400,3,0),"")</f>
        <v/>
      </c>
      <c r="S385" s="16">
        <f>IFERROR(VLOOKUP(H385,Clientes!$A$2:$H$400,4,0),"")</f>
        <v/>
      </c>
      <c r="T385" s="16">
        <f>IFERROR(VLOOKUP(H385,Clientes!$A$2:$H$400,5,0),"")</f>
        <v/>
      </c>
      <c r="U385" s="16">
        <f>IFERROR(VLOOKUP(F385,'LP MONCAR'!$A$4:$D$500,4,0),"")</f>
        <v/>
      </c>
    </row>
    <row r="386">
      <c r="A386" s="37" t="n"/>
      <c r="B386" s="16" t="n">
        <v>1776</v>
      </c>
      <c r="C386" s="16" t="inlineStr">
        <is>
          <t>Maxi</t>
        </is>
      </c>
      <c r="D386" s="17" t="n">
        <v>46057</v>
      </c>
      <c r="E386" s="16">
        <f>IFERROR(IF(LEFT(F386,2)="RM","RMH","MONCAR"),"")</f>
        <v/>
      </c>
      <c r="F386" s="16" t="inlineStr">
        <is>
          <t>RM 102</t>
        </is>
      </c>
      <c r="G386" s="16" t="n">
        <v>10</v>
      </c>
      <c r="H386" s="16" t="inlineStr">
        <is>
          <t>URQUIOLA</t>
        </is>
      </c>
      <c r="I386" s="19" t="n"/>
      <c r="J386" s="18">
        <f>IF(TRIM(F386)="","",IF(LEFT(TRIM(F386),2)="RM",IFERROR(IF(D386&gt;=DATE(2026,4,1),INDEX('LP RMH'!$F:$F,MATCH(TRIM(F386),'LP RMH'!$A:$A,0)),INDEX('LP RMH'!$E:$E,MATCH(TRIM(F386),'LP RMH'!$A:$A,0))),0),IFERROR(INDEX('LP MONCAR'!$E:$E,MATCH(TRIM(F386),'LP MONCAR'!$A:$A,0)),0)))</f>
        <v/>
      </c>
      <c r="K386" s="18">
        <f>IF(AND(ISNUMBER(G386),ISNUMBER(J386),G386&gt;0,J386&gt;0),G386*J386,"")</f>
        <v/>
      </c>
      <c r="L386" s="16">
        <f>IF(D386&lt;&gt;"",TEXT(D386,"YYYY-MM"),"")</f>
        <v/>
      </c>
      <c r="M386" s="16" t="n"/>
      <c r="N386" s="18">
        <f>IFERROR(IF(ISNUMBER(G386),G386*VLOOKUP(F386,Costos!$A$4:$E$320,5,0),0),0)</f>
        <v/>
      </c>
      <c r="O386" s="16">
        <f>IF(K386&lt;&gt;"",K386-N386,"")</f>
        <v/>
      </c>
      <c r="P386" s="16">
        <f>IFERROR(VLOOKUP(F386,'LP MONCAR'!$A$4:$C$500,3,0),"")</f>
        <v/>
      </c>
      <c r="Q386" s="16">
        <f>IFERROR(VLOOKUP(H386,Clientes!$A$2:$H$400,2,0),"")</f>
        <v/>
      </c>
      <c r="R386" s="16">
        <f>IFERROR(VLOOKUP(H386,Clientes!$A$2:$H$400,3,0),"")</f>
        <v/>
      </c>
      <c r="S386" s="16">
        <f>IFERROR(VLOOKUP(H386,Clientes!$A$2:$H$400,4,0),"")</f>
        <v/>
      </c>
      <c r="T386" s="16">
        <f>IFERROR(VLOOKUP(H386,Clientes!$A$2:$H$400,5,0),"")</f>
        <v/>
      </c>
      <c r="U386" s="16">
        <f>IFERROR(VLOOKUP(F386,'LP MONCAR'!$A$4:$D$500,4,0),"")</f>
        <v/>
      </c>
    </row>
    <row r="387">
      <c r="A387" s="37" t="n"/>
      <c r="B387" s="16" t="n">
        <v>1776</v>
      </c>
      <c r="C387" s="16" t="inlineStr">
        <is>
          <t>Maxi</t>
        </is>
      </c>
      <c r="D387" s="17" t="n">
        <v>46057</v>
      </c>
      <c r="E387" s="16">
        <f>IFERROR(IF(LEFT(F387,2)="RM","RMH","MONCAR"),"")</f>
        <v/>
      </c>
      <c r="F387" s="16" t="inlineStr">
        <is>
          <t>RM 714</t>
        </is>
      </c>
      <c r="G387" s="16" t="n">
        <v>6</v>
      </c>
      <c r="H387" s="16" t="inlineStr">
        <is>
          <t>URQUIOLA</t>
        </is>
      </c>
      <c r="I387" s="19" t="n"/>
      <c r="J387" s="18">
        <f>IF(TRIM(F387)="","",IF(LEFT(TRIM(F387),2)="RM",IFERROR(IF(D387&gt;=DATE(2026,4,1),INDEX('LP RMH'!$F:$F,MATCH(TRIM(F387),'LP RMH'!$A:$A,0)),INDEX('LP RMH'!$E:$E,MATCH(TRIM(F387),'LP RMH'!$A:$A,0))),0),IFERROR(INDEX('LP MONCAR'!$E:$E,MATCH(TRIM(F387),'LP MONCAR'!$A:$A,0)),0)))</f>
        <v/>
      </c>
      <c r="K387" s="18">
        <f>IF(AND(ISNUMBER(G387),ISNUMBER(J387),G387&gt;0,J387&gt;0),G387*J387,"")</f>
        <v/>
      </c>
      <c r="L387" s="16">
        <f>IF(D387&lt;&gt;"",TEXT(D387,"YYYY-MM"),"")</f>
        <v/>
      </c>
      <c r="M387" s="16" t="n"/>
      <c r="N387" s="18">
        <f>IFERROR(IF(ISNUMBER(G387),G387*VLOOKUP(F387,Costos!$A$4:$E$320,5,0),0),0)</f>
        <v/>
      </c>
      <c r="O387" s="16">
        <f>IF(K387&lt;&gt;"",K387-N387,"")</f>
        <v/>
      </c>
      <c r="P387" s="16">
        <f>IFERROR(VLOOKUP(F387,'LP MONCAR'!$A$4:$C$500,3,0),"")</f>
        <v/>
      </c>
      <c r="Q387" s="16">
        <f>IFERROR(VLOOKUP(H387,Clientes!$A$2:$H$400,2,0),"")</f>
        <v/>
      </c>
      <c r="R387" s="16">
        <f>IFERROR(VLOOKUP(H387,Clientes!$A$2:$H$400,3,0),"")</f>
        <v/>
      </c>
      <c r="S387" s="16">
        <f>IFERROR(VLOOKUP(H387,Clientes!$A$2:$H$400,4,0),"")</f>
        <v/>
      </c>
      <c r="T387" s="16">
        <f>IFERROR(VLOOKUP(H387,Clientes!$A$2:$H$400,5,0),"")</f>
        <v/>
      </c>
      <c r="U387" s="16">
        <f>IFERROR(VLOOKUP(F387,'LP MONCAR'!$A$4:$D$500,4,0),"")</f>
        <v/>
      </c>
    </row>
    <row r="388">
      <c r="A388" s="37" t="n"/>
      <c r="B388" s="16" t="n">
        <v>1779</v>
      </c>
      <c r="C388" s="16" t="inlineStr">
        <is>
          <t>Maxi</t>
        </is>
      </c>
      <c r="D388" s="17" t="n">
        <v>46063</v>
      </c>
      <c r="E388" s="16">
        <f>IFERROR(IF(LEFT(F388,2)="RM","RMH","MONCAR"),"")</f>
        <v/>
      </c>
      <c r="F388" s="16" t="inlineStr">
        <is>
          <t>RM 035</t>
        </is>
      </c>
      <c r="G388" s="16" t="n">
        <v>3</v>
      </c>
      <c r="H388" s="16" t="inlineStr">
        <is>
          <t>SERVISUR</t>
        </is>
      </c>
      <c r="I388" s="19" t="n"/>
      <c r="J388" s="18">
        <f>IF(TRIM(F388)="","",IF(LEFT(TRIM(F388),2)="RM",IFERROR(IF(D388&gt;=DATE(2026,4,1),INDEX('LP RMH'!$F:$F,MATCH(TRIM(F388),'LP RMH'!$A:$A,0)),INDEX('LP RMH'!$E:$E,MATCH(TRIM(F388),'LP RMH'!$A:$A,0))),0),IFERROR(INDEX('LP MONCAR'!$E:$E,MATCH(TRIM(F388),'LP MONCAR'!$A:$A,0)),0)))</f>
        <v/>
      </c>
      <c r="K388" s="18">
        <f>IF(AND(ISNUMBER(G388),ISNUMBER(J388),G388&gt;0,J388&gt;0),G388*J388,"")</f>
        <v/>
      </c>
      <c r="L388" s="16">
        <f>IF(D388&lt;&gt;"",TEXT(D388,"YYYY-MM"),"")</f>
        <v/>
      </c>
      <c r="M388" s="16" t="n"/>
      <c r="N388" s="18">
        <f>IFERROR(IF(ISNUMBER(G388),G388*VLOOKUP(F388,Costos!$A$4:$E$320,5,0),0),0)</f>
        <v/>
      </c>
      <c r="O388" s="16">
        <f>IF(K388&lt;&gt;"",K388-N388,"")</f>
        <v/>
      </c>
      <c r="P388" s="16">
        <f>IFERROR(VLOOKUP(F388,'LP MONCAR'!$A$4:$C$500,3,0),"")</f>
        <v/>
      </c>
      <c r="Q388" s="16">
        <f>IFERROR(VLOOKUP(H388,Clientes!$A$2:$H$400,2,0),"")</f>
        <v/>
      </c>
      <c r="R388" s="16">
        <f>IFERROR(VLOOKUP(H388,Clientes!$A$2:$H$400,3,0),"")</f>
        <v/>
      </c>
      <c r="S388" s="16">
        <f>IFERROR(VLOOKUP(H388,Clientes!$A$2:$H$400,4,0),"")</f>
        <v/>
      </c>
      <c r="T388" s="16">
        <f>IFERROR(VLOOKUP(H388,Clientes!$A$2:$H$400,5,0),"")</f>
        <v/>
      </c>
      <c r="U388" s="16">
        <f>IFERROR(VLOOKUP(F388,'LP MONCAR'!$A$4:$D$500,4,0),"")</f>
        <v/>
      </c>
    </row>
    <row r="389">
      <c r="A389" s="37" t="n"/>
      <c r="B389" s="16" t="n">
        <v>1779</v>
      </c>
      <c r="C389" s="16" t="inlineStr">
        <is>
          <t>Maxi</t>
        </is>
      </c>
      <c r="D389" s="17" t="n">
        <v>46063</v>
      </c>
      <c r="E389" s="16">
        <f>IFERROR(IF(LEFT(F389,2)="RM","RMH","MONCAR"),"")</f>
        <v/>
      </c>
      <c r="F389" s="16" t="inlineStr">
        <is>
          <t>RM 102</t>
        </is>
      </c>
      <c r="G389" s="16" t="n">
        <v>1</v>
      </c>
      <c r="H389" s="16" t="inlineStr">
        <is>
          <t>SERVISUR</t>
        </is>
      </c>
      <c r="I389" s="19" t="n"/>
      <c r="J389" s="18">
        <f>IF(TRIM(F389)="","",IF(LEFT(TRIM(F389),2)="RM",IFERROR(IF(D389&gt;=DATE(2026,4,1),INDEX('LP RMH'!$F:$F,MATCH(TRIM(F389),'LP RMH'!$A:$A,0)),INDEX('LP RMH'!$E:$E,MATCH(TRIM(F389),'LP RMH'!$A:$A,0))),0),IFERROR(INDEX('LP MONCAR'!$E:$E,MATCH(TRIM(F389),'LP MONCAR'!$A:$A,0)),0)))</f>
        <v/>
      </c>
      <c r="K389" s="18">
        <f>IF(AND(ISNUMBER(G389),ISNUMBER(J389),G389&gt;0,J389&gt;0),G389*J389,"")</f>
        <v/>
      </c>
      <c r="L389" s="16">
        <f>IF(D389&lt;&gt;"",TEXT(D389,"YYYY-MM"),"")</f>
        <v/>
      </c>
      <c r="M389" s="16" t="n"/>
      <c r="N389" s="18">
        <f>IFERROR(IF(ISNUMBER(G389),G389*VLOOKUP(F389,Costos!$A$4:$E$320,5,0),0),0)</f>
        <v/>
      </c>
      <c r="O389" s="16">
        <f>IF(K389&lt;&gt;"",K389-N389,"")</f>
        <v/>
      </c>
      <c r="P389" s="16">
        <f>IFERROR(VLOOKUP(F389,'LP MONCAR'!$A$4:$C$500,3,0),"")</f>
        <v/>
      </c>
      <c r="Q389" s="16">
        <f>IFERROR(VLOOKUP(H389,Clientes!$A$2:$H$400,2,0),"")</f>
        <v/>
      </c>
      <c r="R389" s="16">
        <f>IFERROR(VLOOKUP(H389,Clientes!$A$2:$H$400,3,0),"")</f>
        <v/>
      </c>
      <c r="S389" s="16">
        <f>IFERROR(VLOOKUP(H389,Clientes!$A$2:$H$400,4,0),"")</f>
        <v/>
      </c>
      <c r="T389" s="16">
        <f>IFERROR(VLOOKUP(H389,Clientes!$A$2:$H$400,5,0),"")</f>
        <v/>
      </c>
      <c r="U389" s="16">
        <f>IFERROR(VLOOKUP(F389,'LP MONCAR'!$A$4:$D$500,4,0),"")</f>
        <v/>
      </c>
    </row>
    <row r="390">
      <c r="A390" s="37" t="n"/>
      <c r="B390" s="16" t="n">
        <v>1782</v>
      </c>
      <c r="C390" s="16" t="inlineStr">
        <is>
          <t>Maxi</t>
        </is>
      </c>
      <c r="D390" s="17" t="n">
        <v>46063</v>
      </c>
      <c r="E390" s="16">
        <f>IFERROR(IF(LEFT(F390,2)="RM","RMH","MONCAR"),"")</f>
        <v/>
      </c>
      <c r="F390" s="16" t="inlineStr">
        <is>
          <t>RM 022</t>
        </is>
      </c>
      <c r="G390" s="16" t="n">
        <v>6</v>
      </c>
      <c r="H390" s="16" t="inlineStr">
        <is>
          <t>GALLE</t>
        </is>
      </c>
      <c r="I390" s="19" t="n"/>
      <c r="J390" s="18">
        <f>IF(TRIM(F390)="","",IF(LEFT(TRIM(F390),2)="RM",IFERROR(IF(D390&gt;=DATE(2026,4,1),INDEX('LP RMH'!$F:$F,MATCH(TRIM(F390),'LP RMH'!$A:$A,0)),INDEX('LP RMH'!$E:$E,MATCH(TRIM(F390),'LP RMH'!$A:$A,0))),0),IFERROR(INDEX('LP MONCAR'!$E:$E,MATCH(TRIM(F390),'LP MONCAR'!$A:$A,0)),0)))</f>
        <v/>
      </c>
      <c r="K390" s="18">
        <f>IF(AND(ISNUMBER(G390),ISNUMBER(J390),G390&gt;0,J390&gt;0),G390*J390,"")</f>
        <v/>
      </c>
      <c r="L390" s="16">
        <f>IF(D390&lt;&gt;"",TEXT(D390,"YYYY-MM"),"")</f>
        <v/>
      </c>
      <c r="M390" s="16" t="n"/>
      <c r="N390" s="18">
        <f>IFERROR(IF(ISNUMBER(G390),G390*VLOOKUP(F390,Costos!$A$4:$E$320,5,0),0),0)</f>
        <v/>
      </c>
      <c r="O390" s="16">
        <f>IF(K390&lt;&gt;"",K390-N390,"")</f>
        <v/>
      </c>
      <c r="P390" s="16">
        <f>IFERROR(VLOOKUP(F390,'LP MONCAR'!$A$4:$C$500,3,0),"")</f>
        <v/>
      </c>
      <c r="Q390" s="16">
        <f>IFERROR(VLOOKUP(H390,Clientes!$A$2:$H$400,2,0),"")</f>
        <v/>
      </c>
      <c r="R390" s="16">
        <f>IFERROR(VLOOKUP(H390,Clientes!$A$2:$H$400,3,0),"")</f>
        <v/>
      </c>
      <c r="S390" s="16">
        <f>IFERROR(VLOOKUP(H390,Clientes!$A$2:$H$400,4,0),"")</f>
        <v/>
      </c>
      <c r="T390" s="16">
        <f>IFERROR(VLOOKUP(H390,Clientes!$A$2:$H$400,5,0),"")</f>
        <v/>
      </c>
      <c r="U390" s="16">
        <f>IFERROR(VLOOKUP(F390,'LP MONCAR'!$A$4:$D$500,4,0),"")</f>
        <v/>
      </c>
    </row>
    <row r="391">
      <c r="A391" s="37" t="n"/>
      <c r="B391" s="16" t="n">
        <v>1782</v>
      </c>
      <c r="C391" s="16" t="inlineStr">
        <is>
          <t>Maxi</t>
        </is>
      </c>
      <c r="D391" s="17" t="n">
        <v>46063</v>
      </c>
      <c r="E391" s="16">
        <f>IFERROR(IF(LEFT(F391,2)="RM","RMH","MONCAR"),"")</f>
        <v/>
      </c>
      <c r="F391" s="16" t="inlineStr">
        <is>
          <t>RM 023</t>
        </is>
      </c>
      <c r="G391" s="16" t="n">
        <v>6</v>
      </c>
      <c r="H391" s="16" t="inlineStr">
        <is>
          <t>GALLE</t>
        </is>
      </c>
      <c r="I391" s="19" t="n"/>
      <c r="J391" s="18">
        <f>IF(TRIM(F391)="","",IF(LEFT(TRIM(F391),2)="RM",IFERROR(IF(D391&gt;=DATE(2026,4,1),INDEX('LP RMH'!$F:$F,MATCH(TRIM(F391),'LP RMH'!$A:$A,0)),INDEX('LP RMH'!$E:$E,MATCH(TRIM(F391),'LP RMH'!$A:$A,0))),0),IFERROR(INDEX('LP MONCAR'!$E:$E,MATCH(TRIM(F391),'LP MONCAR'!$A:$A,0)),0)))</f>
        <v/>
      </c>
      <c r="K391" s="18">
        <f>IF(AND(ISNUMBER(G391),ISNUMBER(J391),G391&gt;0,J391&gt;0),G391*J391,"")</f>
        <v/>
      </c>
      <c r="L391" s="16">
        <f>IF(D391&lt;&gt;"",TEXT(D391,"YYYY-MM"),"")</f>
        <v/>
      </c>
      <c r="M391" s="16" t="n"/>
      <c r="N391" s="18">
        <f>IFERROR(IF(ISNUMBER(G391),G391*VLOOKUP(F391,Costos!$A$4:$E$320,5,0),0),0)</f>
        <v/>
      </c>
      <c r="O391" s="16">
        <f>IF(K391&lt;&gt;"",K391-N391,"")</f>
        <v/>
      </c>
      <c r="P391" s="16">
        <f>IFERROR(VLOOKUP(F391,'LP MONCAR'!$A$4:$C$500,3,0),"")</f>
        <v/>
      </c>
      <c r="Q391" s="16">
        <f>IFERROR(VLOOKUP(H391,Clientes!$A$2:$H$400,2,0),"")</f>
        <v/>
      </c>
      <c r="R391" s="16">
        <f>IFERROR(VLOOKUP(H391,Clientes!$A$2:$H$400,3,0),"")</f>
        <v/>
      </c>
      <c r="S391" s="16">
        <f>IFERROR(VLOOKUP(H391,Clientes!$A$2:$H$400,4,0),"")</f>
        <v/>
      </c>
      <c r="T391" s="16">
        <f>IFERROR(VLOOKUP(H391,Clientes!$A$2:$H$400,5,0),"")</f>
        <v/>
      </c>
      <c r="U391" s="16">
        <f>IFERROR(VLOOKUP(F391,'LP MONCAR'!$A$4:$D$500,4,0),"")</f>
        <v/>
      </c>
    </row>
    <row r="392">
      <c r="A392" s="37" t="n"/>
      <c r="B392" s="16" t="n">
        <v>1782</v>
      </c>
      <c r="C392" s="16" t="inlineStr">
        <is>
          <t>Maxi</t>
        </is>
      </c>
      <c r="D392" s="17" t="n">
        <v>46063</v>
      </c>
      <c r="E392" s="16">
        <f>IFERROR(IF(LEFT(F392,2)="RM","RMH","MONCAR"),"")</f>
        <v/>
      </c>
      <c r="F392" s="16" t="inlineStr">
        <is>
          <t>RM 026</t>
        </is>
      </c>
      <c r="G392" s="16" t="n">
        <v>10</v>
      </c>
      <c r="H392" s="16" t="inlineStr">
        <is>
          <t>GALLE</t>
        </is>
      </c>
      <c r="I392" s="19" t="n"/>
      <c r="J392" s="18">
        <f>IF(TRIM(F392)="","",IF(LEFT(TRIM(F392),2)="RM",IFERROR(IF(D392&gt;=DATE(2026,4,1),INDEX('LP RMH'!$F:$F,MATCH(TRIM(F392),'LP RMH'!$A:$A,0)),INDEX('LP RMH'!$E:$E,MATCH(TRIM(F392),'LP RMH'!$A:$A,0))),0),IFERROR(INDEX('LP MONCAR'!$E:$E,MATCH(TRIM(F392),'LP MONCAR'!$A:$A,0)),0)))</f>
        <v/>
      </c>
      <c r="K392" s="18">
        <f>IF(AND(ISNUMBER(G392),ISNUMBER(J392),G392&gt;0,J392&gt;0),G392*J392,"")</f>
        <v/>
      </c>
      <c r="L392" s="16">
        <f>IF(D392&lt;&gt;"",TEXT(D392,"YYYY-MM"),"")</f>
        <v/>
      </c>
      <c r="M392" s="16" t="n"/>
      <c r="N392" s="18">
        <f>IFERROR(IF(ISNUMBER(G392),G392*VLOOKUP(F392,Costos!$A$4:$E$320,5,0),0),0)</f>
        <v/>
      </c>
      <c r="O392" s="16">
        <f>IF(K392&lt;&gt;"",K392-N392,"")</f>
        <v/>
      </c>
      <c r="P392" s="16">
        <f>IFERROR(VLOOKUP(F392,'LP MONCAR'!$A$4:$C$500,3,0),"")</f>
        <v/>
      </c>
      <c r="Q392" s="16">
        <f>IFERROR(VLOOKUP(H392,Clientes!$A$2:$H$400,2,0),"")</f>
        <v/>
      </c>
      <c r="R392" s="16">
        <f>IFERROR(VLOOKUP(H392,Clientes!$A$2:$H$400,3,0),"")</f>
        <v/>
      </c>
      <c r="S392" s="16">
        <f>IFERROR(VLOOKUP(H392,Clientes!$A$2:$H$400,4,0),"")</f>
        <v/>
      </c>
      <c r="T392" s="16">
        <f>IFERROR(VLOOKUP(H392,Clientes!$A$2:$H$400,5,0),"")</f>
        <v/>
      </c>
      <c r="U392" s="16">
        <f>IFERROR(VLOOKUP(F392,'LP MONCAR'!$A$4:$D$500,4,0),"")</f>
        <v/>
      </c>
    </row>
    <row r="393">
      <c r="A393" s="37" t="n"/>
      <c r="B393" s="16" t="n">
        <v>1782</v>
      </c>
      <c r="C393" s="16" t="inlineStr">
        <is>
          <t>Maxi</t>
        </is>
      </c>
      <c r="D393" s="17" t="n">
        <v>46063</v>
      </c>
      <c r="E393" s="16">
        <f>IFERROR(IF(LEFT(F393,2)="RM","RMH","MONCAR"),"")</f>
        <v/>
      </c>
      <c r="F393" s="16" t="inlineStr">
        <is>
          <t>RM 409</t>
        </is>
      </c>
      <c r="G393" s="16" t="n">
        <v>10</v>
      </c>
      <c r="H393" s="16" t="inlineStr">
        <is>
          <t>GALLE</t>
        </is>
      </c>
      <c r="I393" s="19" t="n"/>
      <c r="J393" s="18">
        <f>IF(TRIM(F393)="","",IF(LEFT(TRIM(F393),2)="RM",IFERROR(IF(D393&gt;=DATE(2026,4,1),INDEX('LP RMH'!$F:$F,MATCH(TRIM(F393),'LP RMH'!$A:$A,0)),INDEX('LP RMH'!$E:$E,MATCH(TRIM(F393),'LP RMH'!$A:$A,0))),0),IFERROR(INDEX('LP MONCAR'!$E:$E,MATCH(TRIM(F393),'LP MONCAR'!$A:$A,0)),0)))</f>
        <v/>
      </c>
      <c r="K393" s="18">
        <f>IF(AND(ISNUMBER(G393),ISNUMBER(J393),G393&gt;0,J393&gt;0),G393*J393,"")</f>
        <v/>
      </c>
      <c r="L393" s="16">
        <f>IF(D393&lt;&gt;"",TEXT(D393,"YYYY-MM"),"")</f>
        <v/>
      </c>
      <c r="M393" s="16" t="n"/>
      <c r="N393" s="18">
        <f>IFERROR(IF(ISNUMBER(G393),G393*VLOOKUP(F393,Costos!$A$4:$E$320,5,0),0),0)</f>
        <v/>
      </c>
      <c r="O393" s="16">
        <f>IF(K393&lt;&gt;"",K393-N393,"")</f>
        <v/>
      </c>
      <c r="P393" s="16">
        <f>IFERROR(VLOOKUP(F393,'LP MONCAR'!$A$4:$C$500,3,0),"")</f>
        <v/>
      </c>
      <c r="Q393" s="16">
        <f>IFERROR(VLOOKUP(H393,Clientes!$A$2:$H$400,2,0),"")</f>
        <v/>
      </c>
      <c r="R393" s="16">
        <f>IFERROR(VLOOKUP(H393,Clientes!$A$2:$H$400,3,0),"")</f>
        <v/>
      </c>
      <c r="S393" s="16">
        <f>IFERROR(VLOOKUP(H393,Clientes!$A$2:$H$400,4,0),"")</f>
        <v/>
      </c>
      <c r="T393" s="16">
        <f>IFERROR(VLOOKUP(H393,Clientes!$A$2:$H$400,5,0),"")</f>
        <v/>
      </c>
      <c r="U393" s="16">
        <f>IFERROR(VLOOKUP(F393,'LP MONCAR'!$A$4:$D$500,4,0),"")</f>
        <v/>
      </c>
    </row>
    <row r="394">
      <c r="A394" s="37" t="n"/>
      <c r="B394" s="16" t="n">
        <v>1783</v>
      </c>
      <c r="C394" s="16" t="inlineStr">
        <is>
          <t>Maxi</t>
        </is>
      </c>
      <c r="D394" s="17" t="n">
        <v>46063</v>
      </c>
      <c r="E394" s="16">
        <f>IFERROR(IF(LEFT(F394,2)="RM","RMH","MONCAR"),"")</f>
        <v/>
      </c>
      <c r="F394" s="16" t="inlineStr">
        <is>
          <t>RM 036</t>
        </is>
      </c>
      <c r="G394" s="16" t="n">
        <v>12</v>
      </c>
      <c r="H394" s="16" t="inlineStr">
        <is>
          <t>GALLE</t>
        </is>
      </c>
      <c r="I394" s="19" t="n"/>
      <c r="J394" s="18">
        <f>IF(TRIM(F394)="","",IF(LEFT(TRIM(F394),2)="RM",IFERROR(IF(D394&gt;=DATE(2026,4,1),INDEX('LP RMH'!$F:$F,MATCH(TRIM(F394),'LP RMH'!$A:$A,0)),INDEX('LP RMH'!$E:$E,MATCH(TRIM(F394),'LP RMH'!$A:$A,0))),0),IFERROR(INDEX('LP MONCAR'!$E:$E,MATCH(TRIM(F394),'LP MONCAR'!$A:$A,0)),0)))</f>
        <v/>
      </c>
      <c r="K394" s="18">
        <f>IF(AND(ISNUMBER(G394),ISNUMBER(J394),G394&gt;0,J394&gt;0),G394*J394,"")</f>
        <v/>
      </c>
      <c r="L394" s="16">
        <f>IF(D394&lt;&gt;"",TEXT(D394,"YYYY-MM"),"")</f>
        <v/>
      </c>
      <c r="M394" s="16" t="n"/>
      <c r="N394" s="18">
        <f>IFERROR(IF(ISNUMBER(G394),G394*VLOOKUP(F394,Costos!$A$4:$E$320,5,0),0),0)</f>
        <v/>
      </c>
      <c r="O394" s="16">
        <f>IF(K394&lt;&gt;"",K394-N394,"")</f>
        <v/>
      </c>
      <c r="P394" s="16">
        <f>IFERROR(VLOOKUP(F394,'LP MONCAR'!$A$4:$C$500,3,0),"")</f>
        <v/>
      </c>
      <c r="Q394" s="16">
        <f>IFERROR(VLOOKUP(H394,Clientes!$A$2:$H$400,2,0),"")</f>
        <v/>
      </c>
      <c r="R394" s="16">
        <f>IFERROR(VLOOKUP(H394,Clientes!$A$2:$H$400,3,0),"")</f>
        <v/>
      </c>
      <c r="S394" s="16">
        <f>IFERROR(VLOOKUP(H394,Clientes!$A$2:$H$400,4,0),"")</f>
        <v/>
      </c>
      <c r="T394" s="16">
        <f>IFERROR(VLOOKUP(H394,Clientes!$A$2:$H$400,5,0),"")</f>
        <v/>
      </c>
      <c r="U394" s="16">
        <f>IFERROR(VLOOKUP(F394,'LP MONCAR'!$A$4:$D$500,4,0),"")</f>
        <v/>
      </c>
    </row>
    <row r="395">
      <c r="A395" s="37" t="n"/>
      <c r="B395" s="16" t="n">
        <v>1785</v>
      </c>
      <c r="C395" s="16" t="inlineStr">
        <is>
          <t>Maxi</t>
        </is>
      </c>
      <c r="D395" s="17" t="n">
        <v>46063</v>
      </c>
      <c r="E395" s="16">
        <f>IFERROR(IF(LEFT(F395,2)="RM","RMH","MONCAR"),"")</f>
        <v/>
      </c>
      <c r="F395" s="16" t="inlineStr">
        <is>
          <t>RM 023</t>
        </is>
      </c>
      <c r="G395" s="16" t="n">
        <v>3</v>
      </c>
      <c r="H395" s="16" t="inlineStr">
        <is>
          <t>MOTORCAR</t>
        </is>
      </c>
      <c r="I395" s="19" t="n"/>
      <c r="J395" s="18">
        <f>IF(TRIM(F395)="","",IF(LEFT(TRIM(F395),2)="RM",IFERROR(IF(D395&gt;=DATE(2026,4,1),INDEX('LP RMH'!$F:$F,MATCH(TRIM(F395),'LP RMH'!$A:$A,0)),INDEX('LP RMH'!$E:$E,MATCH(TRIM(F395),'LP RMH'!$A:$A,0))),0),IFERROR(INDEX('LP MONCAR'!$E:$E,MATCH(TRIM(F395),'LP MONCAR'!$A:$A,0)),0)))</f>
        <v/>
      </c>
      <c r="K395" s="18">
        <f>IF(AND(ISNUMBER(G395),ISNUMBER(J395),G395&gt;0,J395&gt;0),G395*J395,"")</f>
        <v/>
      </c>
      <c r="L395" s="16">
        <f>IF(D395&lt;&gt;"",TEXT(D395,"YYYY-MM"),"")</f>
        <v/>
      </c>
      <c r="M395" s="16" t="n"/>
      <c r="N395" s="18">
        <f>IFERROR(IF(ISNUMBER(G395),G395*VLOOKUP(F395,Costos!$A$4:$E$320,5,0),0),0)</f>
        <v/>
      </c>
      <c r="O395" s="16">
        <f>IF(K395&lt;&gt;"",K395-N395,"")</f>
        <v/>
      </c>
      <c r="P395" s="16">
        <f>IFERROR(VLOOKUP(F395,'LP MONCAR'!$A$4:$C$500,3,0),"")</f>
        <v/>
      </c>
      <c r="Q395" s="16">
        <f>IFERROR(VLOOKUP(H395,Clientes!$A$2:$H$400,2,0),"")</f>
        <v/>
      </c>
      <c r="R395" s="16">
        <f>IFERROR(VLOOKUP(H395,Clientes!$A$2:$H$400,3,0),"")</f>
        <v/>
      </c>
      <c r="S395" s="16">
        <f>IFERROR(VLOOKUP(H395,Clientes!$A$2:$H$400,4,0),"")</f>
        <v/>
      </c>
      <c r="T395" s="16">
        <f>IFERROR(VLOOKUP(H395,Clientes!$A$2:$H$400,5,0),"")</f>
        <v/>
      </c>
      <c r="U395" s="16">
        <f>IFERROR(VLOOKUP(F395,'LP MONCAR'!$A$4:$D$500,4,0),"")</f>
        <v/>
      </c>
    </row>
    <row r="396">
      <c r="A396" s="37" t="n"/>
      <c r="B396" s="16" t="n">
        <v>1785</v>
      </c>
      <c r="C396" s="16" t="inlineStr">
        <is>
          <t>Maxi</t>
        </is>
      </c>
      <c r="D396" s="17" t="n">
        <v>46063</v>
      </c>
      <c r="E396" s="16">
        <f>IFERROR(IF(LEFT(F396,2)="RM","RMH","MONCAR"),"")</f>
        <v/>
      </c>
      <c r="F396" s="16" t="inlineStr">
        <is>
          <t>RM 401</t>
        </is>
      </c>
      <c r="G396" s="16" t="n">
        <v>2</v>
      </c>
      <c r="H396" s="16" t="inlineStr">
        <is>
          <t>MOTORCAR</t>
        </is>
      </c>
      <c r="I396" s="19" t="n"/>
      <c r="J396" s="18">
        <f>IF(TRIM(F396)="","",IF(LEFT(TRIM(F396),2)="RM",IFERROR(IF(D396&gt;=DATE(2026,4,1),INDEX('LP RMH'!$F:$F,MATCH(TRIM(F396),'LP RMH'!$A:$A,0)),INDEX('LP RMH'!$E:$E,MATCH(TRIM(F396),'LP RMH'!$A:$A,0))),0),IFERROR(INDEX('LP MONCAR'!$E:$E,MATCH(TRIM(F396),'LP MONCAR'!$A:$A,0)),0)))</f>
        <v/>
      </c>
      <c r="K396" s="18">
        <f>IF(AND(ISNUMBER(G396),ISNUMBER(J396),G396&gt;0,J396&gt;0),G396*J396,"")</f>
        <v/>
      </c>
      <c r="L396" s="16">
        <f>IF(D396&lt;&gt;"",TEXT(D396,"YYYY-MM"),"")</f>
        <v/>
      </c>
      <c r="M396" s="16" t="n"/>
      <c r="N396" s="18">
        <f>IFERROR(IF(ISNUMBER(G396),G396*VLOOKUP(F396,Costos!$A$4:$E$320,5,0),0),0)</f>
        <v/>
      </c>
      <c r="O396" s="16">
        <f>IF(K396&lt;&gt;"",K396-N396,"")</f>
        <v/>
      </c>
      <c r="P396" s="16">
        <f>IFERROR(VLOOKUP(F396,'LP MONCAR'!$A$4:$C$500,3,0),"")</f>
        <v/>
      </c>
      <c r="Q396" s="16">
        <f>IFERROR(VLOOKUP(H396,Clientes!$A$2:$H$400,2,0),"")</f>
        <v/>
      </c>
      <c r="R396" s="16">
        <f>IFERROR(VLOOKUP(H396,Clientes!$A$2:$H$400,3,0),"")</f>
        <v/>
      </c>
      <c r="S396" s="16">
        <f>IFERROR(VLOOKUP(H396,Clientes!$A$2:$H$400,4,0),"")</f>
        <v/>
      </c>
      <c r="T396" s="16">
        <f>IFERROR(VLOOKUP(H396,Clientes!$A$2:$H$400,5,0),"")</f>
        <v/>
      </c>
      <c r="U396" s="16">
        <f>IFERROR(VLOOKUP(F396,'LP MONCAR'!$A$4:$D$500,4,0),"")</f>
        <v/>
      </c>
    </row>
    <row r="397">
      <c r="A397" s="37" t="n"/>
      <c r="B397" s="16" t="n">
        <v>1785</v>
      </c>
      <c r="C397" s="16" t="inlineStr">
        <is>
          <t>Maxi</t>
        </is>
      </c>
      <c r="D397" s="17" t="n">
        <v>46063</v>
      </c>
      <c r="E397" s="16">
        <f>IFERROR(IF(LEFT(F397,2)="RM","RMH","MONCAR"),"")</f>
        <v/>
      </c>
      <c r="F397" s="16" t="inlineStr">
        <is>
          <t>RM 409</t>
        </is>
      </c>
      <c r="G397" s="16" t="n">
        <v>2</v>
      </c>
      <c r="H397" s="16" t="inlineStr">
        <is>
          <t>MOTORCAR</t>
        </is>
      </c>
      <c r="I397" s="19" t="n"/>
      <c r="J397" s="18">
        <f>IF(TRIM(F397)="","",IF(LEFT(TRIM(F397),2)="RM",IFERROR(IF(D397&gt;=DATE(2026,4,1),INDEX('LP RMH'!$F:$F,MATCH(TRIM(F397),'LP RMH'!$A:$A,0)),INDEX('LP RMH'!$E:$E,MATCH(TRIM(F397),'LP RMH'!$A:$A,0))),0),IFERROR(INDEX('LP MONCAR'!$E:$E,MATCH(TRIM(F397),'LP MONCAR'!$A:$A,0)),0)))</f>
        <v/>
      </c>
      <c r="K397" s="18">
        <f>IF(AND(ISNUMBER(G397),ISNUMBER(J397),G397&gt;0,J397&gt;0),G397*J397,"")</f>
        <v/>
      </c>
      <c r="L397" s="16">
        <f>IF(D397&lt;&gt;"",TEXT(D397,"YYYY-MM"),"")</f>
        <v/>
      </c>
      <c r="M397" s="16" t="n"/>
      <c r="N397" s="18">
        <f>IFERROR(IF(ISNUMBER(G397),G397*VLOOKUP(F397,Costos!$A$4:$E$320,5,0),0),0)</f>
        <v/>
      </c>
      <c r="O397" s="16">
        <f>IF(K397&lt;&gt;"",K397-N397,"")</f>
        <v/>
      </c>
      <c r="P397" s="16">
        <f>IFERROR(VLOOKUP(F397,'LP MONCAR'!$A$4:$C$500,3,0),"")</f>
        <v/>
      </c>
      <c r="Q397" s="16">
        <f>IFERROR(VLOOKUP(H397,Clientes!$A$2:$H$400,2,0),"")</f>
        <v/>
      </c>
      <c r="R397" s="16">
        <f>IFERROR(VLOOKUP(H397,Clientes!$A$2:$H$400,3,0),"")</f>
        <v/>
      </c>
      <c r="S397" s="16">
        <f>IFERROR(VLOOKUP(H397,Clientes!$A$2:$H$400,4,0),"")</f>
        <v/>
      </c>
      <c r="T397" s="16">
        <f>IFERROR(VLOOKUP(H397,Clientes!$A$2:$H$400,5,0),"")</f>
        <v/>
      </c>
      <c r="U397" s="16">
        <f>IFERROR(VLOOKUP(F397,'LP MONCAR'!$A$4:$D$500,4,0),"")</f>
        <v/>
      </c>
    </row>
    <row r="398">
      <c r="A398" s="37" t="n"/>
      <c r="B398" s="16" t="n">
        <v>1786</v>
      </c>
      <c r="C398" s="16" t="inlineStr">
        <is>
          <t>Maxi</t>
        </is>
      </c>
      <c r="D398" s="17" t="n">
        <v>46073</v>
      </c>
      <c r="E398" s="16">
        <f>IFERROR(IF(LEFT(F398,2)="RM","RMH","MONCAR"),"")</f>
        <v/>
      </c>
      <c r="F398" s="16" t="inlineStr">
        <is>
          <t>RM 023</t>
        </is>
      </c>
      <c r="G398" s="16" t="n">
        <v>20</v>
      </c>
      <c r="H398" s="16" t="inlineStr">
        <is>
          <t>LA ROTONDA</t>
        </is>
      </c>
      <c r="I398" s="19" t="n"/>
      <c r="J398" s="18">
        <f>IF(TRIM(F398)="","",IF(LEFT(TRIM(F398),2)="RM",IFERROR(IF(D398&gt;=DATE(2026,4,1),INDEX('LP RMH'!$F:$F,MATCH(TRIM(F398),'LP RMH'!$A:$A,0)),INDEX('LP RMH'!$E:$E,MATCH(TRIM(F398),'LP RMH'!$A:$A,0))),0),IFERROR(INDEX('LP MONCAR'!$E:$E,MATCH(TRIM(F398),'LP MONCAR'!$A:$A,0)),0)))</f>
        <v/>
      </c>
      <c r="K398" s="18">
        <f>IF(AND(ISNUMBER(G398),ISNUMBER(J398),G398&gt;0,J398&gt;0),G398*J398,"")</f>
        <v/>
      </c>
      <c r="L398" s="16">
        <f>IF(D398&lt;&gt;"",TEXT(D398,"YYYY-MM"),"")</f>
        <v/>
      </c>
      <c r="M398" s="16" t="n"/>
      <c r="N398" s="18">
        <f>IFERROR(IF(ISNUMBER(G398),G398*VLOOKUP(F398,Costos!$A$4:$E$320,5,0),0),0)</f>
        <v/>
      </c>
      <c r="O398" s="16">
        <f>IF(K398&lt;&gt;"",K398-N398,"")</f>
        <v/>
      </c>
      <c r="P398" s="16">
        <f>IFERROR(VLOOKUP(F398,'LP MONCAR'!$A$4:$C$500,3,0),"")</f>
        <v/>
      </c>
      <c r="Q398" s="16">
        <f>IFERROR(VLOOKUP(H398,Clientes!$A$2:$H$400,2,0),"")</f>
        <v/>
      </c>
      <c r="R398" s="16">
        <f>IFERROR(VLOOKUP(H398,Clientes!$A$2:$H$400,3,0),"")</f>
        <v/>
      </c>
      <c r="S398" s="16">
        <f>IFERROR(VLOOKUP(H398,Clientes!$A$2:$H$400,4,0),"")</f>
        <v/>
      </c>
      <c r="T398" s="16">
        <f>IFERROR(VLOOKUP(H398,Clientes!$A$2:$H$400,5,0),"")</f>
        <v/>
      </c>
      <c r="U398" s="16">
        <f>IFERROR(VLOOKUP(F398,'LP MONCAR'!$A$4:$D$500,4,0),"")</f>
        <v/>
      </c>
    </row>
    <row r="399">
      <c r="A399" s="37" t="n"/>
      <c r="B399" s="16" t="n">
        <v>1787</v>
      </c>
      <c r="C399" s="16" t="inlineStr">
        <is>
          <t>Maxi</t>
        </is>
      </c>
      <c r="D399" s="17" t="n">
        <v>46073</v>
      </c>
      <c r="E399" s="16">
        <f>IFERROR(IF(LEFT(F399,2)="RM","RMH","MONCAR"),"")</f>
        <v/>
      </c>
      <c r="F399" s="16" t="inlineStr">
        <is>
          <t>RM 023</t>
        </is>
      </c>
      <c r="G399" s="16" t="n">
        <v>4</v>
      </c>
      <c r="H399" s="16" t="inlineStr">
        <is>
          <t>CAMINO REAL</t>
        </is>
      </c>
      <c r="I399" s="19" t="n"/>
      <c r="J399" s="18">
        <f>IF(TRIM(F399)="","",IF(LEFT(TRIM(F399),2)="RM",IFERROR(IF(D399&gt;=DATE(2026,4,1),INDEX('LP RMH'!$F:$F,MATCH(TRIM(F399),'LP RMH'!$A:$A,0)),INDEX('LP RMH'!$E:$E,MATCH(TRIM(F399),'LP RMH'!$A:$A,0))),0),IFERROR(INDEX('LP MONCAR'!$E:$E,MATCH(TRIM(F399),'LP MONCAR'!$A:$A,0)),0)))</f>
        <v/>
      </c>
      <c r="K399" s="18">
        <f>IF(AND(ISNUMBER(G399),ISNUMBER(J399),G399&gt;0,J399&gt;0),G399*J399,"")</f>
        <v/>
      </c>
      <c r="L399" s="16">
        <f>IF(D399&lt;&gt;"",TEXT(D399,"YYYY-MM"),"")</f>
        <v/>
      </c>
      <c r="M399" s="16" t="n"/>
      <c r="N399" s="18">
        <f>IFERROR(IF(ISNUMBER(G399),G399*VLOOKUP(F399,Costos!$A$4:$E$320,5,0),0),0)</f>
        <v/>
      </c>
      <c r="O399" s="16">
        <f>IF(K399&lt;&gt;"",K399-N399,"")</f>
        <v/>
      </c>
      <c r="P399" s="16">
        <f>IFERROR(VLOOKUP(F399,'LP MONCAR'!$A$4:$C$500,3,0),"")</f>
        <v/>
      </c>
      <c r="Q399" s="16">
        <f>IFERROR(VLOOKUP(H399,Clientes!$A$2:$H$400,2,0),"")</f>
        <v/>
      </c>
      <c r="R399" s="16">
        <f>IFERROR(VLOOKUP(H399,Clientes!$A$2:$H$400,3,0),"")</f>
        <v/>
      </c>
      <c r="S399" s="16">
        <f>IFERROR(VLOOKUP(H399,Clientes!$A$2:$H$400,4,0),"")</f>
        <v/>
      </c>
      <c r="T399" s="16">
        <f>IFERROR(VLOOKUP(H399,Clientes!$A$2:$H$400,5,0),"")</f>
        <v/>
      </c>
      <c r="U399" s="16">
        <f>IFERROR(VLOOKUP(F399,'LP MONCAR'!$A$4:$D$500,4,0),"")</f>
        <v/>
      </c>
    </row>
    <row r="400">
      <c r="A400" s="37" t="n"/>
      <c r="B400" s="16" t="n">
        <v>1787</v>
      </c>
      <c r="C400" s="16" t="inlineStr">
        <is>
          <t>Maxi</t>
        </is>
      </c>
      <c r="D400" s="17" t="n">
        <v>46073</v>
      </c>
      <c r="E400" s="16">
        <f>IFERROR(IF(LEFT(F400,2)="RM","RMH","MONCAR"),"")</f>
        <v/>
      </c>
      <c r="F400" s="16" t="inlineStr">
        <is>
          <t>RM 035</t>
        </is>
      </c>
      <c r="G400" s="16" t="n">
        <v>2</v>
      </c>
      <c r="H400" s="16" t="inlineStr">
        <is>
          <t>CAMINO REAL</t>
        </is>
      </c>
      <c r="I400" s="19" t="n"/>
      <c r="J400" s="18">
        <f>IF(TRIM(F400)="","",IF(LEFT(TRIM(F400),2)="RM",IFERROR(IF(D400&gt;=DATE(2026,4,1),INDEX('LP RMH'!$F:$F,MATCH(TRIM(F400),'LP RMH'!$A:$A,0)),INDEX('LP RMH'!$E:$E,MATCH(TRIM(F400),'LP RMH'!$A:$A,0))),0),IFERROR(INDEX('LP MONCAR'!$E:$E,MATCH(TRIM(F400),'LP MONCAR'!$A:$A,0)),0)))</f>
        <v/>
      </c>
      <c r="K400" s="18">
        <f>IF(AND(ISNUMBER(G400),ISNUMBER(J400),G400&gt;0,J400&gt;0),G400*J400,"")</f>
        <v/>
      </c>
      <c r="L400" s="16">
        <f>IF(D400&lt;&gt;"",TEXT(D400,"YYYY-MM"),"")</f>
        <v/>
      </c>
      <c r="M400" s="16" t="n"/>
      <c r="N400" s="18">
        <f>IFERROR(IF(ISNUMBER(G400),G400*VLOOKUP(F400,Costos!$A$4:$E$320,5,0),0),0)</f>
        <v/>
      </c>
      <c r="O400" s="16">
        <f>IF(K400&lt;&gt;"",K400-N400,"")</f>
        <v/>
      </c>
      <c r="P400" s="16">
        <f>IFERROR(VLOOKUP(F400,'LP MONCAR'!$A$4:$C$500,3,0),"")</f>
        <v/>
      </c>
      <c r="Q400" s="16">
        <f>IFERROR(VLOOKUP(H400,Clientes!$A$2:$H$400,2,0),"")</f>
        <v/>
      </c>
      <c r="R400" s="16">
        <f>IFERROR(VLOOKUP(H400,Clientes!$A$2:$H$400,3,0),"")</f>
        <v/>
      </c>
      <c r="S400" s="16">
        <f>IFERROR(VLOOKUP(H400,Clientes!$A$2:$H$400,4,0),"")</f>
        <v/>
      </c>
      <c r="T400" s="16">
        <f>IFERROR(VLOOKUP(H400,Clientes!$A$2:$H$400,5,0),"")</f>
        <v/>
      </c>
      <c r="U400" s="16">
        <f>IFERROR(VLOOKUP(F400,'LP MONCAR'!$A$4:$D$500,4,0),"")</f>
        <v/>
      </c>
    </row>
    <row r="401">
      <c r="A401" s="37" t="n"/>
      <c r="B401" s="16" t="n">
        <v>1787</v>
      </c>
      <c r="C401" s="16" t="inlineStr">
        <is>
          <t>Maxi</t>
        </is>
      </c>
      <c r="D401" s="17" t="n">
        <v>46073</v>
      </c>
      <c r="E401" s="16">
        <f>IFERROR(IF(LEFT(F401,2)="RM","RMH","MONCAR"),"")</f>
        <v/>
      </c>
      <c r="F401" s="16" t="inlineStr">
        <is>
          <t>RM 036</t>
        </is>
      </c>
      <c r="G401" s="16" t="n">
        <v>2</v>
      </c>
      <c r="H401" s="16" t="inlineStr">
        <is>
          <t>CAMINO REAL</t>
        </is>
      </c>
      <c r="I401" s="19" t="n"/>
      <c r="J401" s="18">
        <f>IF(TRIM(F401)="","",IF(LEFT(TRIM(F401),2)="RM",IFERROR(IF(D401&gt;=DATE(2026,4,1),INDEX('LP RMH'!$F:$F,MATCH(TRIM(F401),'LP RMH'!$A:$A,0)),INDEX('LP RMH'!$E:$E,MATCH(TRIM(F401),'LP RMH'!$A:$A,0))),0),IFERROR(INDEX('LP MONCAR'!$E:$E,MATCH(TRIM(F401),'LP MONCAR'!$A:$A,0)),0)))</f>
        <v/>
      </c>
      <c r="K401" s="18">
        <f>IF(AND(ISNUMBER(G401),ISNUMBER(J401),G401&gt;0,J401&gt;0),G401*J401,"")</f>
        <v/>
      </c>
      <c r="L401" s="16">
        <f>IF(D401&lt;&gt;"",TEXT(D401,"YYYY-MM"),"")</f>
        <v/>
      </c>
      <c r="M401" s="16" t="n"/>
      <c r="N401" s="18">
        <f>IFERROR(IF(ISNUMBER(G401),G401*VLOOKUP(F401,Costos!$A$4:$E$320,5,0),0),0)</f>
        <v/>
      </c>
      <c r="O401" s="16">
        <f>IF(K401&lt;&gt;"",K401-N401,"")</f>
        <v/>
      </c>
      <c r="P401" s="16">
        <f>IFERROR(VLOOKUP(F401,'LP MONCAR'!$A$4:$C$500,3,0),"")</f>
        <v/>
      </c>
      <c r="Q401" s="16">
        <f>IFERROR(VLOOKUP(H401,Clientes!$A$2:$H$400,2,0),"")</f>
        <v/>
      </c>
      <c r="R401" s="16">
        <f>IFERROR(VLOOKUP(H401,Clientes!$A$2:$H$400,3,0),"")</f>
        <v/>
      </c>
      <c r="S401" s="16">
        <f>IFERROR(VLOOKUP(H401,Clientes!$A$2:$H$400,4,0),"")</f>
        <v/>
      </c>
      <c r="T401" s="16">
        <f>IFERROR(VLOOKUP(H401,Clientes!$A$2:$H$400,5,0),"")</f>
        <v/>
      </c>
      <c r="U401" s="16">
        <f>IFERROR(VLOOKUP(F401,'LP MONCAR'!$A$4:$D$500,4,0),"")</f>
        <v/>
      </c>
    </row>
    <row r="402">
      <c r="A402" s="37" t="n"/>
      <c r="B402" s="16" t="n">
        <v>1788</v>
      </c>
      <c r="C402" s="16" t="inlineStr">
        <is>
          <t>Maxi</t>
        </is>
      </c>
      <c r="D402" s="17" t="n">
        <v>46073</v>
      </c>
      <c r="E402" s="16">
        <f>IFERROR(IF(LEFT(F402,2)="RM","RMH","MONCAR"),"")</f>
        <v/>
      </c>
      <c r="F402" s="16" t="inlineStr">
        <is>
          <t>RM 036</t>
        </is>
      </c>
      <c r="G402" s="16" t="n">
        <v>1</v>
      </c>
      <c r="H402" s="16" t="inlineStr">
        <is>
          <t>EL REFUGIO</t>
        </is>
      </c>
      <c r="I402" s="19" t="n"/>
      <c r="J402" s="18">
        <f>IF(TRIM(F402)="","",IF(LEFT(TRIM(F402),2)="RM",IFERROR(IF(D402&gt;=DATE(2026,4,1),INDEX('LP RMH'!$F:$F,MATCH(TRIM(F402),'LP RMH'!$A:$A,0)),INDEX('LP RMH'!$E:$E,MATCH(TRIM(F402),'LP RMH'!$A:$A,0))),0),IFERROR(INDEX('LP MONCAR'!$E:$E,MATCH(TRIM(F402),'LP MONCAR'!$A:$A,0)),0)))</f>
        <v/>
      </c>
      <c r="K402" s="18">
        <f>IF(AND(ISNUMBER(G402),ISNUMBER(J402),G402&gt;0,J402&gt;0),G402*J402,"")</f>
        <v/>
      </c>
      <c r="L402" s="16">
        <f>IF(D402&lt;&gt;"",TEXT(D402,"YYYY-MM"),"")</f>
        <v/>
      </c>
      <c r="M402" s="16" t="n"/>
      <c r="N402" s="18">
        <f>IFERROR(IF(ISNUMBER(G402),G402*VLOOKUP(F402,Costos!$A$4:$E$320,5,0),0),0)</f>
        <v/>
      </c>
      <c r="O402" s="16">
        <f>IF(K402&lt;&gt;"",K402-N402,"")</f>
        <v/>
      </c>
      <c r="P402" s="16">
        <f>IFERROR(VLOOKUP(F402,'LP MONCAR'!$A$4:$C$500,3,0),"")</f>
        <v/>
      </c>
      <c r="Q402" s="16">
        <f>IFERROR(VLOOKUP(H402,Clientes!$A$2:$H$400,2,0),"")</f>
        <v/>
      </c>
      <c r="R402" s="16">
        <f>IFERROR(VLOOKUP(H402,Clientes!$A$2:$H$400,3,0),"")</f>
        <v/>
      </c>
      <c r="S402" s="16">
        <f>IFERROR(VLOOKUP(H402,Clientes!$A$2:$H$400,4,0),"")</f>
        <v/>
      </c>
      <c r="T402" s="16">
        <f>IFERROR(VLOOKUP(H402,Clientes!$A$2:$H$400,5,0),"")</f>
        <v/>
      </c>
      <c r="U402" s="16">
        <f>IFERROR(VLOOKUP(F402,'LP MONCAR'!$A$4:$D$500,4,0),"")</f>
        <v/>
      </c>
    </row>
    <row r="403">
      <c r="A403" s="37" t="n"/>
      <c r="B403" s="16" t="n">
        <v>1789</v>
      </c>
      <c r="C403" s="16" t="inlineStr">
        <is>
          <t>Maxi</t>
        </is>
      </c>
      <c r="D403" s="17" t="n">
        <v>46077</v>
      </c>
      <c r="E403" s="16">
        <f>IFERROR(IF(LEFT(F403,2)="RM","RMH","MONCAR"),"")</f>
        <v/>
      </c>
      <c r="F403" s="16" t="inlineStr">
        <is>
          <t>RM 035</t>
        </is>
      </c>
      <c r="G403" s="16" t="n">
        <v>2</v>
      </c>
      <c r="H403" s="16" t="inlineStr">
        <is>
          <t>LOMDI</t>
        </is>
      </c>
      <c r="I403" s="19" t="n"/>
      <c r="J403" s="18">
        <f>IF(TRIM(F403)="","",IF(LEFT(TRIM(F403),2)="RM",IFERROR(IF(D403&gt;=DATE(2026,4,1),INDEX('LP RMH'!$F:$F,MATCH(TRIM(F403),'LP RMH'!$A:$A,0)),INDEX('LP RMH'!$E:$E,MATCH(TRIM(F403),'LP RMH'!$A:$A,0))),0),IFERROR(INDEX('LP MONCAR'!$E:$E,MATCH(TRIM(F403),'LP MONCAR'!$A:$A,0)),0)))</f>
        <v/>
      </c>
      <c r="K403" s="18">
        <f>IF(AND(ISNUMBER(G403),ISNUMBER(J403),G403&gt;0,J403&gt;0),G403*J403,"")</f>
        <v/>
      </c>
      <c r="L403" s="16">
        <f>IF(D403&lt;&gt;"",TEXT(D403,"YYYY-MM"),"")</f>
        <v/>
      </c>
      <c r="M403" s="16" t="n"/>
      <c r="N403" s="18">
        <f>IFERROR(IF(ISNUMBER(G403),G403*VLOOKUP(F403,Costos!$A$4:$E$320,5,0),0),0)</f>
        <v/>
      </c>
      <c r="O403" s="16">
        <f>IF(K403&lt;&gt;"",K403-N403,"")</f>
        <v/>
      </c>
      <c r="P403" s="16">
        <f>IFERROR(VLOOKUP(F403,'LP MONCAR'!$A$4:$C$500,3,0),"")</f>
        <v/>
      </c>
      <c r="Q403" s="16">
        <f>IFERROR(VLOOKUP(H403,Clientes!$A$2:$H$400,2,0),"")</f>
        <v/>
      </c>
      <c r="R403" s="16">
        <f>IFERROR(VLOOKUP(H403,Clientes!$A$2:$H$400,3,0),"")</f>
        <v/>
      </c>
      <c r="S403" s="16">
        <f>IFERROR(VLOOKUP(H403,Clientes!$A$2:$H$400,4,0),"")</f>
        <v/>
      </c>
      <c r="T403" s="16">
        <f>IFERROR(VLOOKUP(H403,Clientes!$A$2:$H$400,5,0),"")</f>
        <v/>
      </c>
      <c r="U403" s="16">
        <f>IFERROR(VLOOKUP(F403,'LP MONCAR'!$A$4:$D$500,4,0),"")</f>
        <v/>
      </c>
    </row>
    <row r="404">
      <c r="A404" s="37" t="n"/>
      <c r="B404" s="16" t="n">
        <v>1791</v>
      </c>
      <c r="C404" s="16" t="inlineStr">
        <is>
          <t>Maxi</t>
        </is>
      </c>
      <c r="D404" s="17" t="n">
        <v>46087</v>
      </c>
      <c r="E404" s="16">
        <f>IFERROR(IF(LEFT(F404,2)="RM","RMH","MONCAR"),"")</f>
        <v/>
      </c>
      <c r="F404" s="16" t="inlineStr">
        <is>
          <t>RM 023</t>
        </is>
      </c>
      <c r="G404" s="16" t="n">
        <v>1</v>
      </c>
      <c r="H404" s="16" t="inlineStr">
        <is>
          <t>EL TIO</t>
        </is>
      </c>
      <c r="I404" s="19" t="n"/>
      <c r="J404" s="18">
        <f>IF(TRIM(F404)="","",IF(LEFT(TRIM(F404),2)="RM",IFERROR(IF(D404&gt;=DATE(2026,4,1),INDEX('LP RMH'!$F:$F,MATCH(TRIM(F404),'LP RMH'!$A:$A,0)),INDEX('LP RMH'!$E:$E,MATCH(TRIM(F404),'LP RMH'!$A:$A,0))),0),IFERROR(INDEX('LP MONCAR'!$E:$E,MATCH(TRIM(F404),'LP MONCAR'!$A:$A,0)),0)))</f>
        <v/>
      </c>
      <c r="K404" s="18">
        <f>IF(AND(ISNUMBER(G404),ISNUMBER(J404),G404&gt;0,J404&gt;0),G404*J404,"")</f>
        <v/>
      </c>
      <c r="L404" s="16">
        <f>IF(D404&lt;&gt;"",TEXT(D404,"YYYY-MM"),"")</f>
        <v/>
      </c>
      <c r="M404" s="16" t="n"/>
      <c r="N404" s="18">
        <f>IFERROR(IF(ISNUMBER(G404),G404*VLOOKUP(F404,Costos!$A$4:$E$320,5,0),0),0)</f>
        <v/>
      </c>
      <c r="O404" s="16">
        <f>IF(K404&lt;&gt;"",K404-N404,"")</f>
        <v/>
      </c>
      <c r="P404" s="16">
        <f>IFERROR(VLOOKUP(F404,'LP MONCAR'!$A$4:$C$500,3,0),"")</f>
        <v/>
      </c>
      <c r="Q404" s="16">
        <f>IFERROR(VLOOKUP(H404,Clientes!$A$2:$H$400,2,0),"")</f>
        <v/>
      </c>
      <c r="R404" s="16">
        <f>IFERROR(VLOOKUP(H404,Clientes!$A$2:$H$400,3,0),"")</f>
        <v/>
      </c>
      <c r="S404" s="16">
        <f>IFERROR(VLOOKUP(H404,Clientes!$A$2:$H$400,4,0),"")</f>
        <v/>
      </c>
      <c r="T404" s="16">
        <f>IFERROR(VLOOKUP(H404,Clientes!$A$2:$H$400,5,0),"")</f>
        <v/>
      </c>
      <c r="U404" s="16">
        <f>IFERROR(VLOOKUP(F404,'LP MONCAR'!$A$4:$D$500,4,0),"")</f>
        <v/>
      </c>
    </row>
    <row r="405">
      <c r="A405" s="37" t="n"/>
      <c r="B405" s="16" t="n">
        <v>1791</v>
      </c>
      <c r="C405" s="16" t="inlineStr">
        <is>
          <t>Maxi</t>
        </is>
      </c>
      <c r="D405" s="17" t="n">
        <v>46087</v>
      </c>
      <c r="E405" s="16">
        <f>IFERROR(IF(LEFT(F405,2)="RM","RMH","MONCAR"),"")</f>
        <v/>
      </c>
      <c r="F405" s="16" t="inlineStr">
        <is>
          <t>RM 035</t>
        </is>
      </c>
      <c r="G405" s="16" t="n">
        <v>1</v>
      </c>
      <c r="H405" s="16" t="inlineStr">
        <is>
          <t>EL TIO</t>
        </is>
      </c>
      <c r="I405" s="19" t="n"/>
      <c r="J405" s="18">
        <f>IF(TRIM(F405)="","",IF(LEFT(TRIM(F405),2)="RM",IFERROR(IF(D405&gt;=DATE(2026,4,1),INDEX('LP RMH'!$F:$F,MATCH(TRIM(F405),'LP RMH'!$A:$A,0)),INDEX('LP RMH'!$E:$E,MATCH(TRIM(F405),'LP RMH'!$A:$A,0))),0),IFERROR(INDEX('LP MONCAR'!$E:$E,MATCH(TRIM(F405),'LP MONCAR'!$A:$A,0)),0)))</f>
        <v/>
      </c>
      <c r="K405" s="18">
        <f>IF(AND(ISNUMBER(G405),ISNUMBER(J405),G405&gt;0,J405&gt;0),G405*J405,"")</f>
        <v/>
      </c>
      <c r="L405" s="16">
        <f>IF(D405&lt;&gt;"",TEXT(D405,"YYYY-MM"),"")</f>
        <v/>
      </c>
      <c r="M405" s="16" t="n"/>
      <c r="N405" s="18">
        <f>IFERROR(IF(ISNUMBER(G405),G405*VLOOKUP(F405,Costos!$A$4:$E$320,5,0),0),0)</f>
        <v/>
      </c>
      <c r="O405" s="16">
        <f>IF(K405&lt;&gt;"",K405-N405,"")</f>
        <v/>
      </c>
      <c r="P405" s="16">
        <f>IFERROR(VLOOKUP(F405,'LP MONCAR'!$A$4:$C$500,3,0),"")</f>
        <v/>
      </c>
      <c r="Q405" s="16">
        <f>IFERROR(VLOOKUP(H405,Clientes!$A$2:$H$400,2,0),"")</f>
        <v/>
      </c>
      <c r="R405" s="16">
        <f>IFERROR(VLOOKUP(H405,Clientes!$A$2:$H$400,3,0),"")</f>
        <v/>
      </c>
      <c r="S405" s="16">
        <f>IFERROR(VLOOKUP(H405,Clientes!$A$2:$H$400,4,0),"")</f>
        <v/>
      </c>
      <c r="T405" s="16">
        <f>IFERROR(VLOOKUP(H405,Clientes!$A$2:$H$400,5,0),"")</f>
        <v/>
      </c>
      <c r="U405" s="16">
        <f>IFERROR(VLOOKUP(F405,'LP MONCAR'!$A$4:$D$500,4,0),"")</f>
        <v/>
      </c>
    </row>
    <row r="406">
      <c r="A406" s="37" t="n"/>
      <c r="B406" s="16" t="n">
        <v>1791</v>
      </c>
      <c r="C406" s="16" t="inlineStr">
        <is>
          <t>Maxi</t>
        </is>
      </c>
      <c r="D406" s="17" t="n">
        <v>46087</v>
      </c>
      <c r="E406" s="16">
        <f>IFERROR(IF(LEFT(F406,2)="RM","RMH","MONCAR"),"")</f>
        <v/>
      </c>
      <c r="F406" s="16" t="inlineStr">
        <is>
          <t>RM 505</t>
        </is>
      </c>
      <c r="G406" s="16" t="n">
        <v>2</v>
      </c>
      <c r="H406" s="16" t="inlineStr">
        <is>
          <t>EL TIO</t>
        </is>
      </c>
      <c r="I406" s="19" t="n"/>
      <c r="J406" s="18">
        <f>IF(TRIM(F406)="","",IF(LEFT(TRIM(F406),2)="RM",IFERROR(IF(D406&gt;=DATE(2026,4,1),INDEX('LP RMH'!$F:$F,MATCH(TRIM(F406),'LP RMH'!$A:$A,0)),INDEX('LP RMH'!$E:$E,MATCH(TRIM(F406),'LP RMH'!$A:$A,0))),0),IFERROR(INDEX('LP MONCAR'!$E:$E,MATCH(TRIM(F406),'LP MONCAR'!$A:$A,0)),0)))</f>
        <v/>
      </c>
      <c r="K406" s="18">
        <f>IF(AND(ISNUMBER(G406),ISNUMBER(J406),G406&gt;0,J406&gt;0),G406*J406,"")</f>
        <v/>
      </c>
      <c r="L406" s="16">
        <f>IF(D406&lt;&gt;"",TEXT(D406,"YYYY-MM"),"")</f>
        <v/>
      </c>
      <c r="M406" s="16" t="n"/>
      <c r="N406" s="18">
        <f>IFERROR(IF(ISNUMBER(G406),G406*VLOOKUP(F406,Costos!$A$4:$E$320,5,0),0),0)</f>
        <v/>
      </c>
      <c r="O406" s="16">
        <f>IF(K406&lt;&gt;"",K406-N406,"")</f>
        <v/>
      </c>
      <c r="P406" s="16">
        <f>IFERROR(VLOOKUP(F406,'LP MONCAR'!$A$4:$C$500,3,0),"")</f>
        <v/>
      </c>
      <c r="Q406" s="16">
        <f>IFERROR(VLOOKUP(H406,Clientes!$A$2:$H$400,2,0),"")</f>
        <v/>
      </c>
      <c r="R406" s="16">
        <f>IFERROR(VLOOKUP(H406,Clientes!$A$2:$H$400,3,0),"")</f>
        <v/>
      </c>
      <c r="S406" s="16">
        <f>IFERROR(VLOOKUP(H406,Clientes!$A$2:$H$400,4,0),"")</f>
        <v/>
      </c>
      <c r="T406" s="16">
        <f>IFERROR(VLOOKUP(H406,Clientes!$A$2:$H$400,5,0),"")</f>
        <v/>
      </c>
      <c r="U406" s="16">
        <f>IFERROR(VLOOKUP(F406,'LP MONCAR'!$A$4:$D$500,4,0),"")</f>
        <v/>
      </c>
    </row>
    <row r="407">
      <c r="A407" s="37" t="n"/>
      <c r="B407" s="16" t="n">
        <v>1793</v>
      </c>
      <c r="C407" s="16" t="inlineStr">
        <is>
          <t>Maxi</t>
        </is>
      </c>
      <c r="D407" s="17" t="n">
        <v>46087</v>
      </c>
      <c r="E407" s="16">
        <f>IFERROR(IF(LEFT(F407,2)="RM","RMH","MONCAR"),"")</f>
        <v/>
      </c>
      <c r="F407" s="16" t="inlineStr">
        <is>
          <t>RM 022</t>
        </is>
      </c>
      <c r="G407" s="16" t="n">
        <v>4</v>
      </c>
      <c r="H407" s="16" t="inlineStr">
        <is>
          <t>PACIFICO</t>
        </is>
      </c>
      <c r="I407" s="19" t="n"/>
      <c r="J407" s="18">
        <f>IF(TRIM(F407)="","",IF(LEFT(TRIM(F407),2)="RM",IFERROR(IF(D407&gt;=DATE(2026,4,1),INDEX('LP RMH'!$F:$F,MATCH(TRIM(F407),'LP RMH'!$A:$A,0)),INDEX('LP RMH'!$E:$E,MATCH(TRIM(F407),'LP RMH'!$A:$A,0))),0),IFERROR(INDEX('LP MONCAR'!$E:$E,MATCH(TRIM(F407),'LP MONCAR'!$A:$A,0)),0)))</f>
        <v/>
      </c>
      <c r="K407" s="18">
        <f>IF(AND(ISNUMBER(G407),ISNUMBER(J407),G407&gt;0,J407&gt;0),G407*J407,"")</f>
        <v/>
      </c>
      <c r="L407" s="16">
        <f>IF(D407&lt;&gt;"",TEXT(D407,"YYYY-MM"),"")</f>
        <v/>
      </c>
      <c r="M407" s="16" t="n"/>
      <c r="N407" s="18">
        <f>IFERROR(IF(ISNUMBER(G407),G407*VLOOKUP(F407,Costos!$A$4:$E$320,5,0),0),0)</f>
        <v/>
      </c>
      <c r="O407" s="16">
        <f>IF(K407&lt;&gt;"",K407-N407,"")</f>
        <v/>
      </c>
      <c r="P407" s="16">
        <f>IFERROR(VLOOKUP(F407,'LP MONCAR'!$A$4:$C$500,3,0),"")</f>
        <v/>
      </c>
      <c r="Q407" s="16">
        <f>IFERROR(VLOOKUP(H407,Clientes!$A$2:$H$400,2,0),"")</f>
        <v/>
      </c>
      <c r="R407" s="16">
        <f>IFERROR(VLOOKUP(H407,Clientes!$A$2:$H$400,3,0),"")</f>
        <v/>
      </c>
      <c r="S407" s="16">
        <f>IFERROR(VLOOKUP(H407,Clientes!$A$2:$H$400,4,0),"")</f>
        <v/>
      </c>
      <c r="T407" s="16">
        <f>IFERROR(VLOOKUP(H407,Clientes!$A$2:$H$400,5,0),"")</f>
        <v/>
      </c>
      <c r="U407" s="16">
        <f>IFERROR(VLOOKUP(F407,'LP MONCAR'!$A$4:$D$500,4,0),"")</f>
        <v/>
      </c>
    </row>
    <row r="408">
      <c r="A408" s="37" t="n"/>
      <c r="B408" s="16" t="n">
        <v>1793</v>
      </c>
      <c r="C408" s="16" t="inlineStr">
        <is>
          <t>Maxi</t>
        </is>
      </c>
      <c r="D408" s="17" t="n">
        <v>46087</v>
      </c>
      <c r="E408" s="16">
        <f>IFERROR(IF(LEFT(F408,2)="RM","RMH","MONCAR"),"")</f>
        <v/>
      </c>
      <c r="F408" s="16" t="inlineStr">
        <is>
          <t>RM 023</t>
        </is>
      </c>
      <c r="G408" s="16" t="n">
        <v>6</v>
      </c>
      <c r="H408" s="16" t="inlineStr">
        <is>
          <t>PACIFICO</t>
        </is>
      </c>
      <c r="I408" s="19" t="n"/>
      <c r="J408" s="18">
        <f>IF(TRIM(F408)="","",IF(LEFT(TRIM(F408),2)="RM",IFERROR(IF(D408&gt;=DATE(2026,4,1),INDEX('LP RMH'!$F:$F,MATCH(TRIM(F408),'LP RMH'!$A:$A,0)),INDEX('LP RMH'!$E:$E,MATCH(TRIM(F408),'LP RMH'!$A:$A,0))),0),IFERROR(INDEX('LP MONCAR'!$E:$E,MATCH(TRIM(F408),'LP MONCAR'!$A:$A,0)),0)))</f>
        <v/>
      </c>
      <c r="K408" s="18">
        <f>IF(AND(ISNUMBER(G408),ISNUMBER(J408),G408&gt;0,J408&gt;0),G408*J408,"")</f>
        <v/>
      </c>
      <c r="L408" s="16">
        <f>IF(D408&lt;&gt;"",TEXT(D408,"YYYY-MM"),"")</f>
        <v/>
      </c>
      <c r="M408" s="16" t="n"/>
      <c r="N408" s="18">
        <f>IFERROR(IF(ISNUMBER(G408),G408*VLOOKUP(F408,Costos!$A$4:$E$320,5,0),0),0)</f>
        <v/>
      </c>
      <c r="O408" s="16">
        <f>IF(K408&lt;&gt;"",K408-N408,"")</f>
        <v/>
      </c>
      <c r="P408" s="16">
        <f>IFERROR(VLOOKUP(F408,'LP MONCAR'!$A$4:$C$500,3,0),"")</f>
        <v/>
      </c>
      <c r="Q408" s="16">
        <f>IFERROR(VLOOKUP(H408,Clientes!$A$2:$H$400,2,0),"")</f>
        <v/>
      </c>
      <c r="R408" s="16">
        <f>IFERROR(VLOOKUP(H408,Clientes!$A$2:$H$400,3,0),"")</f>
        <v/>
      </c>
      <c r="S408" s="16">
        <f>IFERROR(VLOOKUP(H408,Clientes!$A$2:$H$400,4,0),"")</f>
        <v/>
      </c>
      <c r="T408" s="16">
        <f>IFERROR(VLOOKUP(H408,Clientes!$A$2:$H$400,5,0),"")</f>
        <v/>
      </c>
      <c r="U408" s="16">
        <f>IFERROR(VLOOKUP(F408,'LP MONCAR'!$A$4:$D$500,4,0),"")</f>
        <v/>
      </c>
    </row>
    <row r="409">
      <c r="A409" s="37" t="n"/>
      <c r="B409" s="16" t="n">
        <v>1793</v>
      </c>
      <c r="C409" s="16" t="inlineStr">
        <is>
          <t>Maxi</t>
        </is>
      </c>
      <c r="D409" s="17" t="n">
        <v>46087</v>
      </c>
      <c r="E409" s="16">
        <f>IFERROR(IF(LEFT(F409,2)="RM","RMH","MONCAR"),"")</f>
        <v/>
      </c>
      <c r="F409" s="16" t="inlineStr">
        <is>
          <t>RM 026</t>
        </is>
      </c>
      <c r="G409" s="16" t="n">
        <v>1</v>
      </c>
      <c r="H409" s="16" t="inlineStr">
        <is>
          <t>PACIFICO</t>
        </is>
      </c>
      <c r="I409" s="19" t="n"/>
      <c r="J409" s="18">
        <f>IF(TRIM(F409)="","",IF(LEFT(TRIM(F409),2)="RM",IFERROR(IF(D409&gt;=DATE(2026,4,1),INDEX('LP RMH'!$F:$F,MATCH(TRIM(F409),'LP RMH'!$A:$A,0)),INDEX('LP RMH'!$E:$E,MATCH(TRIM(F409),'LP RMH'!$A:$A,0))),0),IFERROR(INDEX('LP MONCAR'!$E:$E,MATCH(TRIM(F409),'LP MONCAR'!$A:$A,0)),0)))</f>
        <v/>
      </c>
      <c r="K409" s="18">
        <f>IF(AND(ISNUMBER(G409),ISNUMBER(J409),G409&gt;0,J409&gt;0),G409*J409,"")</f>
        <v/>
      </c>
      <c r="L409" s="16">
        <f>IF(D409&lt;&gt;"",TEXT(D409,"YYYY-MM"),"")</f>
        <v/>
      </c>
      <c r="M409" s="16" t="n"/>
      <c r="N409" s="18">
        <f>IFERROR(IF(ISNUMBER(G409),G409*VLOOKUP(F409,Costos!$A$4:$E$320,5,0),0),0)</f>
        <v/>
      </c>
      <c r="O409" s="16">
        <f>IF(K409&lt;&gt;"",K409-N409,"")</f>
        <v/>
      </c>
      <c r="P409" s="16">
        <f>IFERROR(VLOOKUP(F409,'LP MONCAR'!$A$4:$C$500,3,0),"")</f>
        <v/>
      </c>
      <c r="Q409" s="16">
        <f>IFERROR(VLOOKUP(H409,Clientes!$A$2:$H$400,2,0),"")</f>
        <v/>
      </c>
      <c r="R409" s="16">
        <f>IFERROR(VLOOKUP(H409,Clientes!$A$2:$H$400,3,0),"")</f>
        <v/>
      </c>
      <c r="S409" s="16">
        <f>IFERROR(VLOOKUP(H409,Clientes!$A$2:$H$400,4,0),"")</f>
        <v/>
      </c>
      <c r="T409" s="16">
        <f>IFERROR(VLOOKUP(H409,Clientes!$A$2:$H$400,5,0),"")</f>
        <v/>
      </c>
      <c r="U409" s="16">
        <f>IFERROR(VLOOKUP(F409,'LP MONCAR'!$A$4:$D$500,4,0),"")</f>
        <v/>
      </c>
    </row>
    <row r="410">
      <c r="A410" s="37" t="n"/>
      <c r="B410" s="16" t="n">
        <v>1793</v>
      </c>
      <c r="C410" s="16" t="inlineStr">
        <is>
          <t>Maxi</t>
        </is>
      </c>
      <c r="D410" s="17" t="n">
        <v>46087</v>
      </c>
      <c r="E410" s="16">
        <f>IFERROR(IF(LEFT(F410,2)="RM","RMH","MONCAR"),"")</f>
        <v/>
      </c>
      <c r="F410" s="16" t="inlineStr">
        <is>
          <t>RM 101</t>
        </is>
      </c>
      <c r="G410" s="16" t="n">
        <v>1</v>
      </c>
      <c r="H410" s="16" t="inlineStr">
        <is>
          <t>PACIFICO</t>
        </is>
      </c>
      <c r="I410" s="19" t="n"/>
      <c r="J410" s="18">
        <f>IF(TRIM(F410)="","",IF(LEFT(TRIM(F410),2)="RM",IFERROR(IF(D410&gt;=DATE(2026,4,1),INDEX('LP RMH'!$F:$F,MATCH(TRIM(F410),'LP RMH'!$A:$A,0)),INDEX('LP RMH'!$E:$E,MATCH(TRIM(F410),'LP RMH'!$A:$A,0))),0),IFERROR(INDEX('LP MONCAR'!$E:$E,MATCH(TRIM(F410),'LP MONCAR'!$A:$A,0)),0)))</f>
        <v/>
      </c>
      <c r="K410" s="18">
        <f>IF(AND(ISNUMBER(G410),ISNUMBER(J410),G410&gt;0,J410&gt;0),G410*J410,"")</f>
        <v/>
      </c>
      <c r="L410" s="16">
        <f>IF(D410&lt;&gt;"",TEXT(D410,"YYYY-MM"),"")</f>
        <v/>
      </c>
      <c r="M410" s="16" t="n"/>
      <c r="N410" s="18">
        <f>IFERROR(IF(ISNUMBER(G410),G410*VLOOKUP(F410,Costos!$A$4:$E$320,5,0),0),0)</f>
        <v/>
      </c>
      <c r="O410" s="16">
        <f>IF(K410&lt;&gt;"",K410-N410,"")</f>
        <v/>
      </c>
      <c r="P410" s="16">
        <f>IFERROR(VLOOKUP(F410,'LP MONCAR'!$A$4:$C$500,3,0),"")</f>
        <v/>
      </c>
      <c r="Q410" s="16">
        <f>IFERROR(VLOOKUP(H410,Clientes!$A$2:$H$400,2,0),"")</f>
        <v/>
      </c>
      <c r="R410" s="16">
        <f>IFERROR(VLOOKUP(H410,Clientes!$A$2:$H$400,3,0),"")</f>
        <v/>
      </c>
      <c r="S410" s="16">
        <f>IFERROR(VLOOKUP(H410,Clientes!$A$2:$H$400,4,0),"")</f>
        <v/>
      </c>
      <c r="T410" s="16">
        <f>IFERROR(VLOOKUP(H410,Clientes!$A$2:$H$400,5,0),"")</f>
        <v/>
      </c>
      <c r="U410" s="16">
        <f>IFERROR(VLOOKUP(F410,'LP MONCAR'!$A$4:$D$500,4,0),"")</f>
        <v/>
      </c>
    </row>
    <row r="411">
      <c r="A411" s="37" t="n"/>
      <c r="B411" s="16" t="n">
        <v>1793</v>
      </c>
      <c r="C411" s="16" t="inlineStr">
        <is>
          <t>Maxi</t>
        </is>
      </c>
      <c r="D411" s="17" t="n">
        <v>46087</v>
      </c>
      <c r="E411" s="16">
        <f>IFERROR(IF(LEFT(F411,2)="RM","RMH","MONCAR"),"")</f>
        <v/>
      </c>
      <c r="F411" s="16" t="inlineStr">
        <is>
          <t>RM 505</t>
        </is>
      </c>
      <c r="G411" s="16" t="n">
        <v>4</v>
      </c>
      <c r="H411" s="16" t="inlineStr">
        <is>
          <t>PACIFICO</t>
        </is>
      </c>
      <c r="I411" s="19" t="n"/>
      <c r="J411" s="18">
        <f>IF(TRIM(F411)="","",IF(LEFT(TRIM(F411),2)="RM",IFERROR(IF(D411&gt;=DATE(2026,4,1),INDEX('LP RMH'!$F:$F,MATCH(TRIM(F411),'LP RMH'!$A:$A,0)),INDEX('LP RMH'!$E:$E,MATCH(TRIM(F411),'LP RMH'!$A:$A,0))),0),IFERROR(INDEX('LP MONCAR'!$E:$E,MATCH(TRIM(F411),'LP MONCAR'!$A:$A,0)),0)))</f>
        <v/>
      </c>
      <c r="K411" s="18">
        <f>IF(AND(ISNUMBER(G411),ISNUMBER(J411),G411&gt;0,J411&gt;0),G411*J411,"")</f>
        <v/>
      </c>
      <c r="L411" s="16">
        <f>IF(D411&lt;&gt;"",TEXT(D411,"YYYY-MM"),"")</f>
        <v/>
      </c>
      <c r="M411" s="16" t="n"/>
      <c r="N411" s="18">
        <f>IFERROR(IF(ISNUMBER(G411),G411*VLOOKUP(F411,Costos!$A$4:$E$320,5,0),0),0)</f>
        <v/>
      </c>
      <c r="O411" s="16">
        <f>IF(K411&lt;&gt;"",K411-N411,"")</f>
        <v/>
      </c>
      <c r="P411" s="16">
        <f>IFERROR(VLOOKUP(F411,'LP MONCAR'!$A$4:$C$500,3,0),"")</f>
        <v/>
      </c>
      <c r="Q411" s="16">
        <f>IFERROR(VLOOKUP(H411,Clientes!$A$2:$H$400,2,0),"")</f>
        <v/>
      </c>
      <c r="R411" s="16">
        <f>IFERROR(VLOOKUP(H411,Clientes!$A$2:$H$400,3,0),"")</f>
        <v/>
      </c>
      <c r="S411" s="16">
        <f>IFERROR(VLOOKUP(H411,Clientes!$A$2:$H$400,4,0),"")</f>
        <v/>
      </c>
      <c r="T411" s="16">
        <f>IFERROR(VLOOKUP(H411,Clientes!$A$2:$H$400,5,0),"")</f>
        <v/>
      </c>
      <c r="U411" s="16">
        <f>IFERROR(VLOOKUP(F411,'LP MONCAR'!$A$4:$D$500,4,0),"")</f>
        <v/>
      </c>
    </row>
    <row r="412">
      <c r="A412" s="37" t="n"/>
      <c r="B412" s="16" t="n">
        <v>1793</v>
      </c>
      <c r="C412" s="16" t="inlineStr">
        <is>
          <t>Maxi</t>
        </is>
      </c>
      <c r="D412" s="17" t="n">
        <v>46087</v>
      </c>
      <c r="E412" s="16">
        <f>IFERROR(IF(LEFT(F412,2)="RM","RMH","MONCAR"),"")</f>
        <v/>
      </c>
      <c r="F412" s="16" t="inlineStr">
        <is>
          <t>RM 506</t>
        </is>
      </c>
      <c r="G412" s="16" t="n">
        <v>4</v>
      </c>
      <c r="H412" s="16" t="inlineStr">
        <is>
          <t>PACIFICO</t>
        </is>
      </c>
      <c r="I412" s="19" t="n"/>
      <c r="J412" s="18">
        <f>IF(TRIM(F412)="","",IF(LEFT(TRIM(F412),2)="RM",IFERROR(IF(D412&gt;=DATE(2026,4,1),INDEX('LP RMH'!$F:$F,MATCH(TRIM(F412),'LP RMH'!$A:$A,0)),INDEX('LP RMH'!$E:$E,MATCH(TRIM(F412),'LP RMH'!$A:$A,0))),0),IFERROR(INDEX('LP MONCAR'!$E:$E,MATCH(TRIM(F412),'LP MONCAR'!$A:$A,0)),0)))</f>
        <v/>
      </c>
      <c r="K412" s="18">
        <f>IF(AND(ISNUMBER(G412),ISNUMBER(J412),G412&gt;0,J412&gt;0),G412*J412,"")</f>
        <v/>
      </c>
      <c r="L412" s="16">
        <f>IF(D412&lt;&gt;"",TEXT(D412,"YYYY-MM"),"")</f>
        <v/>
      </c>
      <c r="M412" s="16" t="n"/>
      <c r="N412" s="18">
        <f>IFERROR(IF(ISNUMBER(G412),G412*VLOOKUP(F412,Costos!$A$4:$E$320,5,0),0),0)</f>
        <v/>
      </c>
      <c r="O412" s="16">
        <f>IF(K412&lt;&gt;"",K412-N412,"")</f>
        <v/>
      </c>
      <c r="P412" s="16">
        <f>IFERROR(VLOOKUP(F412,'LP MONCAR'!$A$4:$C$500,3,0),"")</f>
        <v/>
      </c>
      <c r="Q412" s="16">
        <f>IFERROR(VLOOKUP(H412,Clientes!$A$2:$H$400,2,0),"")</f>
        <v/>
      </c>
      <c r="R412" s="16">
        <f>IFERROR(VLOOKUP(H412,Clientes!$A$2:$H$400,3,0),"")</f>
        <v/>
      </c>
      <c r="S412" s="16">
        <f>IFERROR(VLOOKUP(H412,Clientes!$A$2:$H$400,4,0),"")</f>
        <v/>
      </c>
      <c r="T412" s="16">
        <f>IFERROR(VLOOKUP(H412,Clientes!$A$2:$H$400,5,0),"")</f>
        <v/>
      </c>
      <c r="U412" s="16">
        <f>IFERROR(VLOOKUP(F412,'LP MONCAR'!$A$4:$D$500,4,0),"")</f>
        <v/>
      </c>
    </row>
    <row r="413">
      <c r="A413" s="37" t="n"/>
      <c r="B413" s="16" t="n">
        <v>1794</v>
      </c>
      <c r="C413" s="16" t="inlineStr">
        <is>
          <t>Maxi</t>
        </is>
      </c>
      <c r="D413" s="17" t="n">
        <v>46087</v>
      </c>
      <c r="E413" s="16">
        <f>IFERROR(IF(LEFT(F413,2)="RM","RMH","MONCAR"),"")</f>
        <v/>
      </c>
      <c r="F413" s="16" t="inlineStr">
        <is>
          <t>RM 022</t>
        </is>
      </c>
      <c r="G413" s="16" t="n">
        <v>2</v>
      </c>
      <c r="H413" s="16" t="inlineStr">
        <is>
          <t>LOS HERMANOS</t>
        </is>
      </c>
      <c r="I413" s="19" t="n"/>
      <c r="J413" s="18">
        <f>IF(TRIM(F413)="","",IF(LEFT(TRIM(F413),2)="RM",IFERROR(IF(D413&gt;=DATE(2026,4,1),INDEX('LP RMH'!$F:$F,MATCH(TRIM(F413),'LP RMH'!$A:$A,0)),INDEX('LP RMH'!$E:$E,MATCH(TRIM(F413),'LP RMH'!$A:$A,0))),0),IFERROR(INDEX('LP MONCAR'!$E:$E,MATCH(TRIM(F413),'LP MONCAR'!$A:$A,0)),0)))</f>
        <v/>
      </c>
      <c r="K413" s="18">
        <f>IF(AND(ISNUMBER(G413),ISNUMBER(J413),G413&gt;0,J413&gt;0),G413*J413,"")</f>
        <v/>
      </c>
      <c r="L413" s="16">
        <f>IF(D413&lt;&gt;"",TEXT(D413,"YYYY-MM"),"")</f>
        <v/>
      </c>
      <c r="M413" s="16" t="n"/>
      <c r="N413" s="18">
        <f>IFERROR(IF(ISNUMBER(G413),G413*VLOOKUP(F413,Costos!$A$4:$E$320,5,0),0),0)</f>
        <v/>
      </c>
      <c r="O413" s="16">
        <f>IF(K413&lt;&gt;"",K413-N413,"")</f>
        <v/>
      </c>
      <c r="P413" s="16">
        <f>IFERROR(VLOOKUP(F413,'LP MONCAR'!$A$4:$C$500,3,0),"")</f>
        <v/>
      </c>
      <c r="Q413" s="16">
        <f>IFERROR(VLOOKUP(H413,Clientes!$A$2:$H$400,2,0),"")</f>
        <v/>
      </c>
      <c r="R413" s="16">
        <f>IFERROR(VLOOKUP(H413,Clientes!$A$2:$H$400,3,0),"")</f>
        <v/>
      </c>
      <c r="S413" s="16">
        <f>IFERROR(VLOOKUP(H413,Clientes!$A$2:$H$400,4,0),"")</f>
        <v/>
      </c>
      <c r="T413" s="16">
        <f>IFERROR(VLOOKUP(H413,Clientes!$A$2:$H$400,5,0),"")</f>
        <v/>
      </c>
      <c r="U413" s="16">
        <f>IFERROR(VLOOKUP(F413,'LP MONCAR'!$A$4:$D$500,4,0),"")</f>
        <v/>
      </c>
    </row>
    <row r="414">
      <c r="A414" s="37" t="n"/>
      <c r="B414" s="16" t="n">
        <v>1794</v>
      </c>
      <c r="C414" s="16" t="inlineStr">
        <is>
          <t>Maxi</t>
        </is>
      </c>
      <c r="D414" s="17" t="n">
        <v>46087</v>
      </c>
      <c r="E414" s="16">
        <f>IFERROR(IF(LEFT(F414,2)="RM","RMH","MONCAR"),"")</f>
        <v/>
      </c>
      <c r="F414" s="16" t="inlineStr">
        <is>
          <t>RM 023</t>
        </is>
      </c>
      <c r="G414" s="16" t="n">
        <v>2</v>
      </c>
      <c r="H414" s="16" t="inlineStr">
        <is>
          <t>LOS HERMANOS</t>
        </is>
      </c>
      <c r="I414" s="19" t="n"/>
      <c r="J414" s="18">
        <f>IF(TRIM(F414)="","",IF(LEFT(TRIM(F414),2)="RM",IFERROR(IF(D414&gt;=DATE(2026,4,1),INDEX('LP RMH'!$F:$F,MATCH(TRIM(F414),'LP RMH'!$A:$A,0)),INDEX('LP RMH'!$E:$E,MATCH(TRIM(F414),'LP RMH'!$A:$A,0))),0),IFERROR(INDEX('LP MONCAR'!$E:$E,MATCH(TRIM(F414),'LP MONCAR'!$A:$A,0)),0)))</f>
        <v/>
      </c>
      <c r="K414" s="18">
        <f>IF(AND(ISNUMBER(G414),ISNUMBER(J414),G414&gt;0,J414&gt;0),G414*J414,"")</f>
        <v/>
      </c>
      <c r="L414" s="16">
        <f>IF(D414&lt;&gt;"",TEXT(D414,"YYYY-MM"),"")</f>
        <v/>
      </c>
      <c r="M414" s="16" t="n"/>
      <c r="N414" s="18">
        <f>IFERROR(IF(ISNUMBER(G414),G414*VLOOKUP(F414,Costos!$A$4:$E$320,5,0),0),0)</f>
        <v/>
      </c>
      <c r="O414" s="16">
        <f>IF(K414&lt;&gt;"",K414-N414,"")</f>
        <v/>
      </c>
      <c r="P414" s="16">
        <f>IFERROR(VLOOKUP(F414,'LP MONCAR'!$A$4:$C$500,3,0),"")</f>
        <v/>
      </c>
      <c r="Q414" s="16">
        <f>IFERROR(VLOOKUP(H414,Clientes!$A$2:$H$400,2,0),"")</f>
        <v/>
      </c>
      <c r="R414" s="16">
        <f>IFERROR(VLOOKUP(H414,Clientes!$A$2:$H$400,3,0),"")</f>
        <v/>
      </c>
      <c r="S414" s="16">
        <f>IFERROR(VLOOKUP(H414,Clientes!$A$2:$H$400,4,0),"")</f>
        <v/>
      </c>
      <c r="T414" s="16">
        <f>IFERROR(VLOOKUP(H414,Clientes!$A$2:$H$400,5,0),"")</f>
        <v/>
      </c>
      <c r="U414" s="16">
        <f>IFERROR(VLOOKUP(F414,'LP MONCAR'!$A$4:$D$500,4,0),"")</f>
        <v/>
      </c>
    </row>
    <row r="415">
      <c r="A415" s="37" t="n"/>
      <c r="B415" s="16" t="n">
        <v>1796</v>
      </c>
      <c r="C415" s="16" t="inlineStr">
        <is>
          <t>Maxi</t>
        </is>
      </c>
      <c r="D415" s="17" t="n">
        <v>46087</v>
      </c>
      <c r="E415" s="16">
        <f>IFERROR(IF(LEFT(F415,2)="RM","RMH","MONCAR"),"")</f>
        <v/>
      </c>
      <c r="F415" s="16" t="inlineStr">
        <is>
          <t>RM 023</t>
        </is>
      </c>
      <c r="G415" s="16" t="n">
        <v>2</v>
      </c>
      <c r="H415" s="16" t="inlineStr">
        <is>
          <t>BRUZZONE</t>
        </is>
      </c>
      <c r="I415" s="19" t="n"/>
      <c r="J415" s="18">
        <f>IF(TRIM(F415)="","",IF(LEFT(TRIM(F415),2)="RM",IFERROR(IF(D415&gt;=DATE(2026,4,1),INDEX('LP RMH'!$F:$F,MATCH(TRIM(F415),'LP RMH'!$A:$A,0)),INDEX('LP RMH'!$E:$E,MATCH(TRIM(F415),'LP RMH'!$A:$A,0))),0),IFERROR(INDEX('LP MONCAR'!$E:$E,MATCH(TRIM(F415),'LP MONCAR'!$A:$A,0)),0)))</f>
        <v/>
      </c>
      <c r="K415" s="18">
        <f>IF(AND(ISNUMBER(G415),ISNUMBER(J415),G415&gt;0,J415&gt;0),G415*J415,"")</f>
        <v/>
      </c>
      <c r="L415" s="16">
        <f>IF(D415&lt;&gt;"",TEXT(D415,"YYYY-MM"),"")</f>
        <v/>
      </c>
      <c r="M415" s="16" t="n"/>
      <c r="N415" s="18">
        <f>IFERROR(IF(ISNUMBER(G415),G415*VLOOKUP(F415,Costos!$A$4:$E$320,5,0),0),0)</f>
        <v/>
      </c>
      <c r="O415" s="16">
        <f>IF(K415&lt;&gt;"",K415-N415,"")</f>
        <v/>
      </c>
      <c r="P415" s="16">
        <f>IFERROR(VLOOKUP(F415,'LP MONCAR'!$A$4:$C$500,3,0),"")</f>
        <v/>
      </c>
      <c r="Q415" s="16">
        <f>IFERROR(VLOOKUP(H415,Clientes!$A$2:$H$400,2,0),"")</f>
        <v/>
      </c>
      <c r="R415" s="16">
        <f>IFERROR(VLOOKUP(H415,Clientes!$A$2:$H$400,3,0),"")</f>
        <v/>
      </c>
      <c r="S415" s="16">
        <f>IFERROR(VLOOKUP(H415,Clientes!$A$2:$H$400,4,0),"")</f>
        <v/>
      </c>
      <c r="T415" s="16">
        <f>IFERROR(VLOOKUP(H415,Clientes!$A$2:$H$400,5,0),"")</f>
        <v/>
      </c>
      <c r="U415" s="16">
        <f>IFERROR(VLOOKUP(F415,'LP MONCAR'!$A$4:$D$500,4,0),"")</f>
        <v/>
      </c>
    </row>
    <row r="416">
      <c r="A416" s="37" t="n"/>
      <c r="B416" s="16" t="n">
        <v>1797</v>
      </c>
      <c r="C416" s="16" t="inlineStr">
        <is>
          <t>Maxi</t>
        </is>
      </c>
      <c r="D416" s="17" t="n">
        <v>46092</v>
      </c>
      <c r="E416" s="16">
        <f>IFERROR(IF(LEFT(F416,2)="RM","RMH","MONCAR"),"")</f>
        <v/>
      </c>
      <c r="F416" s="16" t="inlineStr">
        <is>
          <t>RM 505</t>
        </is>
      </c>
      <c r="G416" s="16" t="n">
        <v>12</v>
      </c>
      <c r="H416" s="16" t="inlineStr">
        <is>
          <t>ELECTRO GP</t>
        </is>
      </c>
      <c r="I416" s="19" t="n"/>
      <c r="J416" s="18">
        <f>IF(TRIM(F416)="","",IF(LEFT(TRIM(F416),2)="RM",IFERROR(IF(D416&gt;=DATE(2026,4,1),INDEX('LP RMH'!$F:$F,MATCH(TRIM(F416),'LP RMH'!$A:$A,0)),INDEX('LP RMH'!$E:$E,MATCH(TRIM(F416),'LP RMH'!$A:$A,0))),0),IFERROR(INDEX('LP MONCAR'!$E:$E,MATCH(TRIM(F416),'LP MONCAR'!$A:$A,0)),0)))</f>
        <v/>
      </c>
      <c r="K416" s="18">
        <f>IF(AND(ISNUMBER(G416),ISNUMBER(J416),G416&gt;0,J416&gt;0),G416*J416,"")</f>
        <v/>
      </c>
      <c r="L416" s="16">
        <f>IF(D416&lt;&gt;"",TEXT(D416,"YYYY-MM"),"")</f>
        <v/>
      </c>
      <c r="M416" s="16" t="n"/>
      <c r="N416" s="18">
        <f>IFERROR(IF(ISNUMBER(G416),G416*VLOOKUP(F416,Costos!$A$4:$E$320,5,0),0),0)</f>
        <v/>
      </c>
      <c r="O416" s="16">
        <f>IF(K416&lt;&gt;"",K416-N416,"")</f>
        <v/>
      </c>
      <c r="P416" s="16">
        <f>IFERROR(VLOOKUP(F416,'LP MONCAR'!$A$4:$C$500,3,0),"")</f>
        <v/>
      </c>
      <c r="Q416" s="16">
        <f>IFERROR(VLOOKUP(H416,Clientes!$A$2:$H$400,2,0),"")</f>
        <v/>
      </c>
      <c r="R416" s="16">
        <f>IFERROR(VLOOKUP(H416,Clientes!$A$2:$H$400,3,0),"")</f>
        <v/>
      </c>
      <c r="S416" s="16">
        <f>IFERROR(VLOOKUP(H416,Clientes!$A$2:$H$400,4,0),"")</f>
        <v/>
      </c>
      <c r="T416" s="16">
        <f>IFERROR(VLOOKUP(H416,Clientes!$A$2:$H$400,5,0),"")</f>
        <v/>
      </c>
      <c r="U416" s="16">
        <f>IFERROR(VLOOKUP(F416,'LP MONCAR'!$A$4:$D$500,4,0),"")</f>
        <v/>
      </c>
    </row>
    <row r="417">
      <c r="A417" s="37" t="n"/>
      <c r="B417" s="16" t="n">
        <v>1798</v>
      </c>
      <c r="C417" s="16" t="inlineStr">
        <is>
          <t>Maxi</t>
        </is>
      </c>
      <c r="D417" s="17" t="n">
        <v>46092</v>
      </c>
      <c r="E417" s="16">
        <f>IFERROR(IF(LEFT(F417,2)="RM","RMH","MONCAR"),"")</f>
        <v/>
      </c>
      <c r="F417" s="16" t="inlineStr">
        <is>
          <t>RM 035</t>
        </is>
      </c>
      <c r="G417" s="16" t="n">
        <v>30</v>
      </c>
      <c r="H417" s="16" t="inlineStr">
        <is>
          <t>EL TALLER</t>
        </is>
      </c>
      <c r="I417" s="19" t="n"/>
      <c r="J417" s="18">
        <f>IF(TRIM(F417)="","",IF(LEFT(TRIM(F417),2)="RM",IFERROR(IF(D417&gt;=DATE(2026,4,1),INDEX('LP RMH'!$F:$F,MATCH(TRIM(F417),'LP RMH'!$A:$A,0)),INDEX('LP RMH'!$E:$E,MATCH(TRIM(F417),'LP RMH'!$A:$A,0))),0),IFERROR(INDEX('LP MONCAR'!$E:$E,MATCH(TRIM(F417),'LP MONCAR'!$A:$A,0)),0)))</f>
        <v/>
      </c>
      <c r="K417" s="18">
        <f>IF(AND(ISNUMBER(G417),ISNUMBER(J417),G417&gt;0,J417&gt;0),G417*J417,"")</f>
        <v/>
      </c>
      <c r="L417" s="16">
        <f>IF(D417&lt;&gt;"",TEXT(D417,"YYYY-MM"),"")</f>
        <v/>
      </c>
      <c r="M417" s="16" t="n"/>
      <c r="N417" s="18">
        <f>IFERROR(IF(ISNUMBER(G417),G417*VLOOKUP(F417,Costos!$A$4:$E$320,5,0),0),0)</f>
        <v/>
      </c>
      <c r="O417" s="16">
        <f>IF(K417&lt;&gt;"",K417-N417,"")</f>
        <v/>
      </c>
      <c r="P417" s="16">
        <f>IFERROR(VLOOKUP(F417,'LP MONCAR'!$A$4:$C$500,3,0),"")</f>
        <v/>
      </c>
      <c r="Q417" s="16">
        <f>IFERROR(VLOOKUP(H417,Clientes!$A$2:$H$400,2,0),"")</f>
        <v/>
      </c>
      <c r="R417" s="16">
        <f>IFERROR(VLOOKUP(H417,Clientes!$A$2:$H$400,3,0),"")</f>
        <v/>
      </c>
      <c r="S417" s="16">
        <f>IFERROR(VLOOKUP(H417,Clientes!$A$2:$H$400,4,0),"")</f>
        <v/>
      </c>
      <c r="T417" s="16">
        <f>IFERROR(VLOOKUP(H417,Clientes!$A$2:$H$400,5,0),"")</f>
        <v/>
      </c>
      <c r="U417" s="16">
        <f>IFERROR(VLOOKUP(F417,'LP MONCAR'!$A$4:$D$500,4,0),"")</f>
        <v/>
      </c>
    </row>
    <row r="418">
      <c r="A418" s="37" t="n"/>
      <c r="B418" s="16" t="n">
        <v>1799</v>
      </c>
      <c r="C418" s="16" t="inlineStr">
        <is>
          <t>Maxi</t>
        </is>
      </c>
      <c r="D418" s="17" t="n">
        <v>46092</v>
      </c>
      <c r="E418" s="16">
        <f>IFERROR(IF(LEFT(F418,2)="RM","RMH","MONCAR"),"")</f>
        <v/>
      </c>
      <c r="F418" s="16" t="inlineStr">
        <is>
          <t>RM 101</t>
        </is>
      </c>
      <c r="G418" s="16" t="n">
        <v>2</v>
      </c>
      <c r="H418" s="16" t="inlineStr">
        <is>
          <t>EL OBRADOR</t>
        </is>
      </c>
      <c r="I418" s="19" t="n"/>
      <c r="J418" s="18">
        <f>IF(TRIM(F418)="","",IF(LEFT(TRIM(F418),2)="RM",IFERROR(IF(D418&gt;=DATE(2026,4,1),INDEX('LP RMH'!$F:$F,MATCH(TRIM(F418),'LP RMH'!$A:$A,0)),INDEX('LP RMH'!$E:$E,MATCH(TRIM(F418),'LP RMH'!$A:$A,0))),0),IFERROR(INDEX('LP MONCAR'!$E:$E,MATCH(TRIM(F418),'LP MONCAR'!$A:$A,0)),0)))</f>
        <v/>
      </c>
      <c r="K418" s="18">
        <f>IF(AND(ISNUMBER(G418),ISNUMBER(J418),G418&gt;0,J418&gt;0),G418*J418,"")</f>
        <v/>
      </c>
      <c r="L418" s="16">
        <f>IF(D418&lt;&gt;"",TEXT(D418,"YYYY-MM"),"")</f>
        <v/>
      </c>
      <c r="M418" s="16" t="n"/>
      <c r="N418" s="18">
        <f>IFERROR(IF(ISNUMBER(G418),G418*VLOOKUP(F418,Costos!$A$4:$E$320,5,0),0),0)</f>
        <v/>
      </c>
      <c r="O418" s="16">
        <f>IF(K418&lt;&gt;"",K418-N418,"")</f>
        <v/>
      </c>
      <c r="P418" s="16">
        <f>IFERROR(VLOOKUP(F418,'LP MONCAR'!$A$4:$C$500,3,0),"")</f>
        <v/>
      </c>
      <c r="Q418" s="16">
        <f>IFERROR(VLOOKUP(H418,Clientes!$A$2:$H$400,2,0),"")</f>
        <v/>
      </c>
      <c r="R418" s="16">
        <f>IFERROR(VLOOKUP(H418,Clientes!$A$2:$H$400,3,0),"")</f>
        <v/>
      </c>
      <c r="S418" s="16">
        <f>IFERROR(VLOOKUP(H418,Clientes!$A$2:$H$400,4,0),"")</f>
        <v/>
      </c>
      <c r="T418" s="16">
        <f>IFERROR(VLOOKUP(H418,Clientes!$A$2:$H$400,5,0),"")</f>
        <v/>
      </c>
      <c r="U418" s="16">
        <f>IFERROR(VLOOKUP(F418,'LP MONCAR'!$A$4:$D$500,4,0),"")</f>
        <v/>
      </c>
    </row>
    <row r="419">
      <c r="A419" s="37" t="n"/>
      <c r="B419" s="16" t="n">
        <v>1799</v>
      </c>
      <c r="C419" s="16" t="inlineStr">
        <is>
          <t>Maxi</t>
        </is>
      </c>
      <c r="D419" s="17" t="n">
        <v>46092</v>
      </c>
      <c r="E419" s="16">
        <f>IFERROR(IF(LEFT(F419,2)="RM","RMH","MONCAR"),"")</f>
        <v/>
      </c>
      <c r="F419" s="16" t="inlineStr">
        <is>
          <t>RM 102</t>
        </is>
      </c>
      <c r="G419" s="16" t="n">
        <v>2</v>
      </c>
      <c r="H419" s="16" t="inlineStr">
        <is>
          <t>EL OBRADOR</t>
        </is>
      </c>
      <c r="I419" s="19" t="n"/>
      <c r="J419" s="18">
        <f>IF(TRIM(F419)="","",IF(LEFT(TRIM(F419),2)="RM",IFERROR(IF(D419&gt;=DATE(2026,4,1),INDEX('LP RMH'!$F:$F,MATCH(TRIM(F419),'LP RMH'!$A:$A,0)),INDEX('LP RMH'!$E:$E,MATCH(TRIM(F419),'LP RMH'!$A:$A,0))),0),IFERROR(INDEX('LP MONCAR'!$E:$E,MATCH(TRIM(F419),'LP MONCAR'!$A:$A,0)),0)))</f>
        <v/>
      </c>
      <c r="K419" s="18">
        <f>IF(AND(ISNUMBER(G419),ISNUMBER(J419),G419&gt;0,J419&gt;0),G419*J419,"")</f>
        <v/>
      </c>
      <c r="L419" s="16">
        <f>IF(D419&lt;&gt;"",TEXT(D419,"YYYY-MM"),"")</f>
        <v/>
      </c>
      <c r="M419" s="16" t="n"/>
      <c r="N419" s="18">
        <f>IFERROR(IF(ISNUMBER(G419),G419*VLOOKUP(F419,Costos!$A$4:$E$320,5,0),0),0)</f>
        <v/>
      </c>
      <c r="O419" s="16">
        <f>IF(K419&lt;&gt;"",K419-N419,"")</f>
        <v/>
      </c>
      <c r="P419" s="16">
        <f>IFERROR(VLOOKUP(F419,'LP MONCAR'!$A$4:$C$500,3,0),"")</f>
        <v/>
      </c>
      <c r="Q419" s="16">
        <f>IFERROR(VLOOKUP(H419,Clientes!$A$2:$H$400,2,0),"")</f>
        <v/>
      </c>
      <c r="R419" s="16">
        <f>IFERROR(VLOOKUP(H419,Clientes!$A$2:$H$400,3,0),"")</f>
        <v/>
      </c>
      <c r="S419" s="16">
        <f>IFERROR(VLOOKUP(H419,Clientes!$A$2:$H$400,4,0),"")</f>
        <v/>
      </c>
      <c r="T419" s="16">
        <f>IFERROR(VLOOKUP(H419,Clientes!$A$2:$H$400,5,0),"")</f>
        <v/>
      </c>
      <c r="U419" s="16">
        <f>IFERROR(VLOOKUP(F419,'LP MONCAR'!$A$4:$D$500,4,0),"")</f>
        <v/>
      </c>
    </row>
    <row r="420">
      <c r="A420" s="37" t="n"/>
      <c r="B420" s="16" t="n">
        <v>1799</v>
      </c>
      <c r="C420" s="16" t="inlineStr">
        <is>
          <t>Maxi</t>
        </is>
      </c>
      <c r="D420" s="17" t="n">
        <v>46092</v>
      </c>
      <c r="E420" s="16">
        <f>IFERROR(IF(LEFT(F420,2)="RM","RMH","MONCAR"),"")</f>
        <v/>
      </c>
      <c r="F420" s="16" t="inlineStr">
        <is>
          <t>RM 717</t>
        </is>
      </c>
      <c r="G420" s="16" t="n">
        <v>2</v>
      </c>
      <c r="H420" s="16" t="inlineStr">
        <is>
          <t>EL OBRADOR</t>
        </is>
      </c>
      <c r="I420" s="19" t="n"/>
      <c r="J420" s="18">
        <f>IF(TRIM(F420)="","",IF(LEFT(TRIM(F420),2)="RM",IFERROR(IF(D420&gt;=DATE(2026,4,1),INDEX('LP RMH'!$F:$F,MATCH(TRIM(F420),'LP RMH'!$A:$A,0)),INDEX('LP RMH'!$E:$E,MATCH(TRIM(F420),'LP RMH'!$A:$A,0))),0),IFERROR(INDEX('LP MONCAR'!$E:$E,MATCH(TRIM(F420),'LP MONCAR'!$A:$A,0)),0)))</f>
        <v/>
      </c>
      <c r="K420" s="18">
        <f>IF(AND(ISNUMBER(G420),ISNUMBER(J420),G420&gt;0,J420&gt;0),G420*J420,"")</f>
        <v/>
      </c>
      <c r="L420" s="16">
        <f>IF(D420&lt;&gt;"",TEXT(D420,"YYYY-MM"),"")</f>
        <v/>
      </c>
      <c r="M420" s="16" t="n"/>
      <c r="N420" s="18">
        <f>IFERROR(IF(ISNUMBER(G420),G420*VLOOKUP(F420,Costos!$A$4:$E$320,5,0),0),0)</f>
        <v/>
      </c>
      <c r="O420" s="16">
        <f>IF(K420&lt;&gt;"",K420-N420,"")</f>
        <v/>
      </c>
      <c r="P420" s="16">
        <f>IFERROR(VLOOKUP(F420,'LP MONCAR'!$A$4:$C$500,3,0),"")</f>
        <v/>
      </c>
      <c r="Q420" s="16">
        <f>IFERROR(VLOOKUP(H420,Clientes!$A$2:$H$400,2,0),"")</f>
        <v/>
      </c>
      <c r="R420" s="16">
        <f>IFERROR(VLOOKUP(H420,Clientes!$A$2:$H$400,3,0),"")</f>
        <v/>
      </c>
      <c r="S420" s="16">
        <f>IFERROR(VLOOKUP(H420,Clientes!$A$2:$H$400,4,0),"")</f>
        <v/>
      </c>
      <c r="T420" s="16">
        <f>IFERROR(VLOOKUP(H420,Clientes!$A$2:$H$400,5,0),"")</f>
        <v/>
      </c>
      <c r="U420" s="16">
        <f>IFERROR(VLOOKUP(F420,'LP MONCAR'!$A$4:$D$500,4,0),"")</f>
        <v/>
      </c>
    </row>
    <row r="421">
      <c r="A421" s="37" t="n"/>
      <c r="B421" s="16" t="n">
        <v>1800</v>
      </c>
      <c r="C421" s="16" t="inlineStr">
        <is>
          <t>Maxi</t>
        </is>
      </c>
      <c r="D421" s="17" t="n">
        <v>46092</v>
      </c>
      <c r="E421" s="16">
        <f>IFERROR(IF(LEFT(F421,2)="RM","RMH","MONCAR"),"")</f>
        <v/>
      </c>
      <c r="F421" s="16" t="inlineStr">
        <is>
          <t>RM 035</t>
        </is>
      </c>
      <c r="G421" s="16" t="n">
        <v>15</v>
      </c>
      <c r="H421" s="16" t="inlineStr">
        <is>
          <t>GALLE</t>
        </is>
      </c>
      <c r="I421" s="19" t="n"/>
      <c r="J421" s="18">
        <f>IF(TRIM(F421)="","",IF(LEFT(TRIM(F421),2)="RM",IFERROR(IF(D421&gt;=DATE(2026,4,1),INDEX('LP RMH'!$F:$F,MATCH(TRIM(F421),'LP RMH'!$A:$A,0)),INDEX('LP RMH'!$E:$E,MATCH(TRIM(F421),'LP RMH'!$A:$A,0))),0),IFERROR(INDEX('LP MONCAR'!$E:$E,MATCH(TRIM(F421),'LP MONCAR'!$A:$A,0)),0)))</f>
        <v/>
      </c>
      <c r="K421" s="18">
        <f>IF(AND(ISNUMBER(G421),ISNUMBER(J421),G421&gt;0,J421&gt;0),G421*J421,"")</f>
        <v/>
      </c>
      <c r="L421" s="16">
        <f>IF(D421&lt;&gt;"",TEXT(D421,"YYYY-MM"),"")</f>
        <v/>
      </c>
      <c r="M421" s="16" t="n"/>
      <c r="N421" s="18">
        <f>IFERROR(IF(ISNUMBER(G421),G421*VLOOKUP(F421,Costos!$A$4:$E$320,5,0),0),0)</f>
        <v/>
      </c>
      <c r="O421" s="16">
        <f>IF(K421&lt;&gt;"",K421-N421,"")</f>
        <v/>
      </c>
      <c r="P421" s="16">
        <f>IFERROR(VLOOKUP(F421,'LP MONCAR'!$A$4:$C$500,3,0),"")</f>
        <v/>
      </c>
      <c r="Q421" s="16">
        <f>IFERROR(VLOOKUP(H421,Clientes!$A$2:$H$400,2,0),"")</f>
        <v/>
      </c>
      <c r="R421" s="16">
        <f>IFERROR(VLOOKUP(H421,Clientes!$A$2:$H$400,3,0),"")</f>
        <v/>
      </c>
      <c r="S421" s="16">
        <f>IFERROR(VLOOKUP(H421,Clientes!$A$2:$H$400,4,0),"")</f>
        <v/>
      </c>
      <c r="T421" s="16">
        <f>IFERROR(VLOOKUP(H421,Clientes!$A$2:$H$400,5,0),"")</f>
        <v/>
      </c>
      <c r="U421" s="16">
        <f>IFERROR(VLOOKUP(F421,'LP MONCAR'!$A$4:$D$500,4,0),"")</f>
        <v/>
      </c>
    </row>
    <row r="422">
      <c r="A422" s="37" t="n"/>
      <c r="B422" s="16" t="n">
        <v>1329</v>
      </c>
      <c r="C422" s="16" t="inlineStr">
        <is>
          <t>Maxi</t>
        </is>
      </c>
      <c r="D422" s="17" t="n">
        <v>46174</v>
      </c>
      <c r="E422" s="16">
        <f>IFERROR(IF(LEFT(F422,2)="RM","RMH","MONCAR"),"")</f>
        <v/>
      </c>
      <c r="F422" s="16" t="inlineStr">
        <is>
          <t>CF 665</t>
        </is>
      </c>
      <c r="G422" s="16" t="n">
        <v>100</v>
      </c>
      <c r="H422" s="16" t="inlineStr">
        <is>
          <t>FERRETERIA OMEGA</t>
        </is>
      </c>
      <c r="I422" s="19" t="n"/>
      <c r="J422" s="18">
        <f>IF(TRIM(F422)="","",IF(LEFT(TRIM(F422),2)="RM",IFERROR(IF(D422&gt;=DATE(2026,4,1),INDEX('LP RMH'!$F:$F,MATCH(TRIM(F422),'LP RMH'!$A:$A,0)),INDEX('LP RMH'!$E:$E,MATCH(TRIM(F422),'LP RMH'!$A:$A,0))),0),IFERROR(INDEX('LP MONCAR'!$E:$E,MATCH(TRIM(F422),'LP MONCAR'!$A:$A,0)),0)))</f>
        <v/>
      </c>
      <c r="K422" s="18">
        <f>IF(AND(ISNUMBER(G422),ISNUMBER(J422),G422&gt;0,J422&gt;0),G422*J422,"")</f>
        <v/>
      </c>
      <c r="L422" s="16">
        <f>IF(D422&lt;&gt;"",TEXT(D422,"YYYY-MM"),"")</f>
        <v/>
      </c>
      <c r="M422" s="16" t="inlineStr">
        <is>
          <t>no me da el total</t>
        </is>
      </c>
      <c r="N422" s="18">
        <f>IFERROR(IF(ISNUMBER(G422),G422*VLOOKUP(F422,Costos!$A$4:$E$320,5,0),0),0)</f>
        <v/>
      </c>
      <c r="O422" s="16">
        <f>IF(K422&lt;&gt;"",K422-N422,"")</f>
        <v/>
      </c>
      <c r="P422" s="16">
        <f>IFERROR(VLOOKUP(F422,'LP MONCAR'!$A$4:$C$500,3,0),"")</f>
        <v/>
      </c>
      <c r="Q422" s="16">
        <f>IFERROR(VLOOKUP(H422,Clientes!$A$2:$H$400,2,0),"")</f>
        <v/>
      </c>
      <c r="R422" s="16">
        <f>IFERROR(VLOOKUP(H422,Clientes!$A$2:$H$400,3,0),"")</f>
        <v/>
      </c>
      <c r="S422" s="16">
        <f>IFERROR(VLOOKUP(H422,Clientes!$A$2:$H$400,4,0),"")</f>
        <v/>
      </c>
      <c r="T422" s="16">
        <f>IFERROR(VLOOKUP(H422,Clientes!$A$2:$H$400,5,0),"")</f>
        <v/>
      </c>
      <c r="U422" s="16">
        <f>IFERROR(VLOOKUP(F422,'LP MONCAR'!$A$4:$D$500,4,0),"")</f>
        <v/>
      </c>
    </row>
    <row r="423">
      <c r="A423" s="37" t="n"/>
      <c r="B423" s="16" t="n">
        <v>1329</v>
      </c>
      <c r="C423" s="16" t="inlineStr">
        <is>
          <t>Maxi</t>
        </is>
      </c>
      <c r="D423" s="17" t="n">
        <v>46174</v>
      </c>
      <c r="E423" s="16">
        <f>IFERROR(IF(LEFT(F423,2)="RM","RMH","MONCAR"),"")</f>
        <v/>
      </c>
      <c r="F423" s="16" t="inlineStr">
        <is>
          <t>CF 674</t>
        </is>
      </c>
      <c r="G423" s="16" t="n">
        <v>20</v>
      </c>
      <c r="H423" s="16" t="inlineStr">
        <is>
          <t>FERRETERIA OMEGA</t>
        </is>
      </c>
      <c r="I423" s="19" t="n"/>
      <c r="J423" s="18">
        <f>IF(TRIM(F423)="","",IF(LEFT(TRIM(F423),2)="RM",IFERROR(IF(D423&gt;=DATE(2026,4,1),INDEX('LP RMH'!$F:$F,MATCH(TRIM(F423),'LP RMH'!$A:$A,0)),INDEX('LP RMH'!$E:$E,MATCH(TRIM(F423),'LP RMH'!$A:$A,0))),0),IFERROR(INDEX('LP MONCAR'!$E:$E,MATCH(TRIM(F423),'LP MONCAR'!$A:$A,0)),0)))</f>
        <v/>
      </c>
      <c r="K423" s="18">
        <f>IF(AND(ISNUMBER(G423),ISNUMBER(J423),G423&gt;0,J423&gt;0),G423*J423,"")</f>
        <v/>
      </c>
      <c r="L423" s="16">
        <f>IF(D423&lt;&gt;"",TEXT(D423,"YYYY-MM"),"")</f>
        <v/>
      </c>
      <c r="M423" s="16" t="inlineStr">
        <is>
          <t>hace un dto</t>
        </is>
      </c>
      <c r="N423" s="18">
        <f>IFERROR(IF(ISNUMBER(G423),G423*VLOOKUP(F423,Costos!$A$4:$E$320,5,0),0),0)</f>
        <v/>
      </c>
      <c r="O423" s="16">
        <f>IF(K423&lt;&gt;"",K423-N423,"")</f>
        <v/>
      </c>
      <c r="P423" s="16">
        <f>IFERROR(VLOOKUP(F423,'LP MONCAR'!$A$4:$C$500,3,0),"")</f>
        <v/>
      </c>
      <c r="Q423" s="16">
        <f>IFERROR(VLOOKUP(H423,Clientes!$A$2:$H$400,2,0),"")</f>
        <v/>
      </c>
      <c r="R423" s="16">
        <f>IFERROR(VLOOKUP(H423,Clientes!$A$2:$H$400,3,0),"")</f>
        <v/>
      </c>
      <c r="S423" s="16">
        <f>IFERROR(VLOOKUP(H423,Clientes!$A$2:$H$400,4,0),"")</f>
        <v/>
      </c>
      <c r="T423" s="16">
        <f>IFERROR(VLOOKUP(H423,Clientes!$A$2:$H$400,5,0),"")</f>
        <v/>
      </c>
      <c r="U423" s="16">
        <f>IFERROR(VLOOKUP(F423,'LP MONCAR'!$A$4:$D$500,4,0),"")</f>
        <v/>
      </c>
    </row>
    <row r="424">
      <c r="A424" s="37" t="n"/>
      <c r="B424" s="16" t="n">
        <v>1329</v>
      </c>
      <c r="C424" s="16" t="inlineStr">
        <is>
          <t>Maxi</t>
        </is>
      </c>
      <c r="D424" s="17" t="n">
        <v>46174</v>
      </c>
      <c r="E424" s="16">
        <f>IFERROR(IF(LEFT(F424,2)="RM","RMH","MONCAR"),"")</f>
        <v/>
      </c>
      <c r="F424" s="16" t="inlineStr">
        <is>
          <t>CF 017</t>
        </is>
      </c>
      <c r="G424" s="16" t="n">
        <v>20</v>
      </c>
      <c r="H424" s="16" t="inlineStr">
        <is>
          <t>FERRETERIA OMEGA</t>
        </is>
      </c>
      <c r="I424" s="19" t="n"/>
      <c r="J424" s="18">
        <f>IF(TRIM(F424)="","",IF(LEFT(TRIM(F424),2)="RM",IFERROR(IF(D424&gt;=DATE(2026,4,1),INDEX('LP RMH'!$F:$F,MATCH(TRIM(F424),'LP RMH'!$A:$A,0)),INDEX('LP RMH'!$E:$E,MATCH(TRIM(F424),'LP RMH'!$A:$A,0))),0),IFERROR(INDEX('LP MONCAR'!$E:$E,MATCH(TRIM(F424),'LP MONCAR'!$A:$A,0)),0)))</f>
        <v/>
      </c>
      <c r="K424" s="18">
        <f>IF(AND(ISNUMBER(G424),ISNUMBER(J424),G424&gt;0,J424&gt;0),G424*J424,"")</f>
        <v/>
      </c>
      <c r="L424" s="16">
        <f>IF(D424&lt;&gt;"",TEXT(D424,"YYYY-MM"),"")</f>
        <v/>
      </c>
      <c r="M424" s="16" t="n"/>
      <c r="N424" s="18">
        <f>IFERROR(IF(ISNUMBER(G424),G424*VLOOKUP(F424,Costos!$A$4:$E$320,5,0),0),0)</f>
        <v/>
      </c>
      <c r="O424" s="16">
        <f>IF(K424&lt;&gt;"",K424-N424,"")</f>
        <v/>
      </c>
      <c r="P424" s="16">
        <f>IFERROR(VLOOKUP(F424,'LP MONCAR'!$A$4:$C$500,3,0),"")</f>
        <v/>
      </c>
      <c r="Q424" s="16">
        <f>IFERROR(VLOOKUP(H424,Clientes!$A$2:$H$400,2,0),"")</f>
        <v/>
      </c>
      <c r="R424" s="16">
        <f>IFERROR(VLOOKUP(H424,Clientes!$A$2:$H$400,3,0),"")</f>
        <v/>
      </c>
      <c r="S424" s="16">
        <f>IFERROR(VLOOKUP(H424,Clientes!$A$2:$H$400,4,0),"")</f>
        <v/>
      </c>
      <c r="T424" s="16">
        <f>IFERROR(VLOOKUP(H424,Clientes!$A$2:$H$400,5,0),"")</f>
        <v/>
      </c>
      <c r="U424" s="16">
        <f>IFERROR(VLOOKUP(F424,'LP MONCAR'!$A$4:$D$500,4,0),"")</f>
        <v/>
      </c>
    </row>
    <row r="425">
      <c r="A425" s="37" t="n"/>
      <c r="B425" s="16" t="n">
        <v>1329</v>
      </c>
      <c r="C425" s="16" t="inlineStr">
        <is>
          <t>Maxi</t>
        </is>
      </c>
      <c r="D425" s="17" t="n">
        <v>46174</v>
      </c>
      <c r="E425" s="16">
        <f>IFERROR(IF(LEFT(F425,2)="RM","RMH","MONCAR"),"")</f>
        <v/>
      </c>
      <c r="F425" s="16" t="inlineStr">
        <is>
          <t>CF 020</t>
        </is>
      </c>
      <c r="G425" s="16" t="n">
        <v>20</v>
      </c>
      <c r="H425" s="16" t="inlineStr">
        <is>
          <t>FERRETERIA OMEGA</t>
        </is>
      </c>
      <c r="I425" s="19" t="n"/>
      <c r="J425" s="18">
        <f>IF(TRIM(F425)="","",IF(LEFT(TRIM(F425),2)="RM",IFERROR(IF(D425&gt;=DATE(2026,4,1),INDEX('LP RMH'!$F:$F,MATCH(TRIM(F425),'LP RMH'!$A:$A,0)),INDEX('LP RMH'!$E:$E,MATCH(TRIM(F425),'LP RMH'!$A:$A,0))),0),IFERROR(INDEX('LP MONCAR'!$E:$E,MATCH(TRIM(F425),'LP MONCAR'!$A:$A,0)),0)))</f>
        <v/>
      </c>
      <c r="K425" s="18">
        <f>IF(AND(ISNUMBER(G425),ISNUMBER(J425),G425&gt;0,J425&gt;0),G425*J425,"")</f>
        <v/>
      </c>
      <c r="L425" s="16">
        <f>IF(D425&lt;&gt;"",TEXT(D425,"YYYY-MM"),"")</f>
        <v/>
      </c>
      <c r="M425" s="16" t="n"/>
      <c r="N425" s="18">
        <f>IFERROR(IF(ISNUMBER(G425),G425*VLOOKUP(F425,Costos!$A$4:$E$320,5,0),0),0)</f>
        <v/>
      </c>
      <c r="O425" s="16">
        <f>IF(K425&lt;&gt;"",K425-N425,"")</f>
        <v/>
      </c>
      <c r="P425" s="16">
        <f>IFERROR(VLOOKUP(F425,'LP MONCAR'!$A$4:$C$500,3,0),"")</f>
        <v/>
      </c>
      <c r="Q425" s="16">
        <f>IFERROR(VLOOKUP(H425,Clientes!$A$2:$H$400,2,0),"")</f>
        <v/>
      </c>
      <c r="R425" s="16">
        <f>IFERROR(VLOOKUP(H425,Clientes!$A$2:$H$400,3,0),"")</f>
        <v/>
      </c>
      <c r="S425" s="16">
        <f>IFERROR(VLOOKUP(H425,Clientes!$A$2:$H$400,4,0),"")</f>
        <v/>
      </c>
      <c r="T425" s="16">
        <f>IFERROR(VLOOKUP(H425,Clientes!$A$2:$H$400,5,0),"")</f>
        <v/>
      </c>
      <c r="U425" s="16">
        <f>IFERROR(VLOOKUP(F425,'LP MONCAR'!$A$4:$D$500,4,0),"")</f>
        <v/>
      </c>
    </row>
    <row r="426">
      <c r="A426" s="37" t="n"/>
      <c r="B426" s="16" t="n">
        <v>1329</v>
      </c>
      <c r="C426" s="16" t="inlineStr">
        <is>
          <t>Maxi</t>
        </is>
      </c>
      <c r="D426" s="17" t="n">
        <v>46174</v>
      </c>
      <c r="E426" s="16">
        <f>IFERROR(IF(LEFT(F426,2)="RM","RMH","MONCAR"),"")</f>
        <v/>
      </c>
      <c r="F426" s="23" t="inlineStr">
        <is>
          <t>CF 189</t>
        </is>
      </c>
      <c r="G426" s="16" t="n">
        <v>20</v>
      </c>
      <c r="H426" s="16" t="inlineStr">
        <is>
          <t>FERRETERIA OMEGA</t>
        </is>
      </c>
      <c r="I426" s="19" t="n"/>
      <c r="J426" s="18">
        <f>IF(TRIM(F426)="","",IF(LEFT(TRIM(F426),2)="RM",IFERROR(IF(D426&gt;=DATE(2026,4,1),INDEX('LP RMH'!$F:$F,MATCH(TRIM(F426),'LP RMH'!$A:$A,0)),INDEX('LP RMH'!$E:$E,MATCH(TRIM(F426),'LP RMH'!$A:$A,0))),0),IFERROR(INDEX('LP MONCAR'!$E:$E,MATCH(TRIM(F426),'LP MONCAR'!$A:$A,0)),0)))</f>
        <v/>
      </c>
      <c r="K426" s="18">
        <f>IF(AND(ISNUMBER(G426),ISNUMBER(J426),G426&gt;0,J426&gt;0),G426*J426,"")</f>
        <v/>
      </c>
      <c r="L426" s="16">
        <f>IF(D426&lt;&gt;"",TEXT(D426,"YYYY-MM"),"")</f>
        <v/>
      </c>
      <c r="M426" s="16" t="n"/>
      <c r="N426" s="18">
        <f>IFERROR(IF(ISNUMBER(G426),G426*VLOOKUP(F426,Costos!$A$4:$E$320,5,0),0),0)</f>
        <v/>
      </c>
      <c r="O426" s="16">
        <f>IF(K426&lt;&gt;"",K426-N426,"")</f>
        <v/>
      </c>
      <c r="P426" s="16">
        <f>IFERROR(VLOOKUP(F426,'LP MONCAR'!$A$4:$C$500,3,0),"")</f>
        <v/>
      </c>
      <c r="Q426" s="16">
        <f>IFERROR(VLOOKUP(H426,Clientes!$A$2:$H$400,2,0),"")</f>
        <v/>
      </c>
      <c r="R426" s="16">
        <f>IFERROR(VLOOKUP(H426,Clientes!$A$2:$H$400,3,0),"")</f>
        <v/>
      </c>
      <c r="S426" s="16">
        <f>IFERROR(VLOOKUP(H426,Clientes!$A$2:$H$400,4,0),"")</f>
        <v/>
      </c>
      <c r="T426" s="16">
        <f>IFERROR(VLOOKUP(H426,Clientes!$A$2:$H$400,5,0),"")</f>
        <v/>
      </c>
      <c r="U426" s="16">
        <f>IFERROR(VLOOKUP(F426,'LP MONCAR'!$A$4:$D$500,4,0),"")</f>
        <v/>
      </c>
    </row>
    <row r="427">
      <c r="A427" s="37" t="n"/>
      <c r="B427" s="16" t="n">
        <v>1329</v>
      </c>
      <c r="C427" s="16" t="inlineStr">
        <is>
          <t>Maxi</t>
        </is>
      </c>
      <c r="D427" s="17" t="n">
        <v>46174</v>
      </c>
      <c r="E427" s="16">
        <f>IFERROR(IF(LEFT(F427,2)="RM","RMH","MONCAR"),"")</f>
        <v/>
      </c>
      <c r="F427" s="16" t="inlineStr">
        <is>
          <t>CF 752</t>
        </is>
      </c>
      <c r="G427" s="16" t="n">
        <v>10</v>
      </c>
      <c r="H427" s="16" t="inlineStr">
        <is>
          <t>FERRETERIA OMEGA</t>
        </is>
      </c>
      <c r="I427" s="19" t="n"/>
      <c r="J427" s="18">
        <f>IF(TRIM(F427)="","",IF(LEFT(TRIM(F427),2)="RM",IFERROR(IF(D427&gt;=DATE(2026,4,1),INDEX('LP RMH'!$F:$F,MATCH(TRIM(F427),'LP RMH'!$A:$A,0)),INDEX('LP RMH'!$E:$E,MATCH(TRIM(F427),'LP RMH'!$A:$A,0))),0),IFERROR(INDEX('LP MONCAR'!$E:$E,MATCH(TRIM(F427),'LP MONCAR'!$A:$A,0)),0)))</f>
        <v/>
      </c>
      <c r="K427" s="18">
        <f>IF(AND(ISNUMBER(G427),ISNUMBER(J427),G427&gt;0,J427&gt;0),G427*J427,"")</f>
        <v/>
      </c>
      <c r="L427" s="16">
        <f>IF(D427&lt;&gt;"",TEXT(D427,"YYYY-MM"),"")</f>
        <v/>
      </c>
      <c r="M427" s="16" t="n"/>
      <c r="N427" s="18">
        <f>IFERROR(IF(ISNUMBER(G427),G427*VLOOKUP(F427,Costos!$A$4:$E$320,5,0),0),0)</f>
        <v/>
      </c>
      <c r="O427" s="16">
        <f>IF(K427&lt;&gt;"",K427-N427,"")</f>
        <v/>
      </c>
      <c r="P427" s="16">
        <f>IFERROR(VLOOKUP(F427,'LP MONCAR'!$A$4:$C$500,3,0),"")</f>
        <v/>
      </c>
      <c r="Q427" s="16">
        <f>IFERROR(VLOOKUP(H427,Clientes!$A$2:$H$400,2,0),"")</f>
        <v/>
      </c>
      <c r="R427" s="16">
        <f>IFERROR(VLOOKUP(H427,Clientes!$A$2:$H$400,3,0),"")</f>
        <v/>
      </c>
      <c r="S427" s="16">
        <f>IFERROR(VLOOKUP(H427,Clientes!$A$2:$H$400,4,0),"")</f>
        <v/>
      </c>
      <c r="T427" s="16">
        <f>IFERROR(VLOOKUP(H427,Clientes!$A$2:$H$400,5,0),"")</f>
        <v/>
      </c>
      <c r="U427" s="16">
        <f>IFERROR(VLOOKUP(F427,'LP MONCAR'!$A$4:$D$500,4,0),"")</f>
        <v/>
      </c>
    </row>
    <row r="428">
      <c r="A428" s="37" t="n"/>
      <c r="B428" s="16" t="n">
        <v>1329</v>
      </c>
      <c r="C428" s="16" t="inlineStr">
        <is>
          <t>Maxi</t>
        </is>
      </c>
      <c r="D428" s="17" t="n">
        <v>46174</v>
      </c>
      <c r="E428" s="16">
        <f>IFERROR(IF(LEFT(F428,2)="RM","RMH","MONCAR"),"")</f>
        <v/>
      </c>
      <c r="F428" s="16" t="inlineStr">
        <is>
          <t>CF 710</t>
        </is>
      </c>
      <c r="G428" s="16" t="n">
        <v>10</v>
      </c>
      <c r="H428" s="16" t="inlineStr">
        <is>
          <t>FERRETERIA OMEGA</t>
        </is>
      </c>
      <c r="I428" s="19" t="n"/>
      <c r="J428" s="18">
        <f>IF(TRIM(F428)="","",IF(LEFT(TRIM(F428),2)="RM",IFERROR(IF(D428&gt;=DATE(2026,4,1),INDEX('LP RMH'!$F:$F,MATCH(TRIM(F428),'LP RMH'!$A:$A,0)),INDEX('LP RMH'!$E:$E,MATCH(TRIM(F428),'LP RMH'!$A:$A,0))),0),IFERROR(INDEX('LP MONCAR'!$E:$E,MATCH(TRIM(F428),'LP MONCAR'!$A:$A,0)),0)))</f>
        <v/>
      </c>
      <c r="K428" s="18">
        <f>IF(AND(ISNUMBER(G428),ISNUMBER(J428),G428&gt;0,J428&gt;0),G428*J428,"")</f>
        <v/>
      </c>
      <c r="L428" s="16">
        <f>IF(D428&lt;&gt;"",TEXT(D428,"YYYY-MM"),"")</f>
        <v/>
      </c>
      <c r="M428" s="16" t="n"/>
      <c r="N428" s="18">
        <f>IFERROR(IF(ISNUMBER(G428),G428*VLOOKUP(F428,Costos!$A$4:$E$320,5,0),0),0)</f>
        <v/>
      </c>
      <c r="O428" s="16">
        <f>IF(K428&lt;&gt;"",K428-N428,"")</f>
        <v/>
      </c>
      <c r="P428" s="16">
        <f>IFERROR(VLOOKUP(F428,'LP MONCAR'!$A$4:$C$500,3,0),"")</f>
        <v/>
      </c>
      <c r="Q428" s="16">
        <f>IFERROR(VLOOKUP(H428,Clientes!$A$2:$H$400,2,0),"")</f>
        <v/>
      </c>
      <c r="R428" s="16">
        <f>IFERROR(VLOOKUP(H428,Clientes!$A$2:$H$400,3,0),"")</f>
        <v/>
      </c>
      <c r="S428" s="16">
        <f>IFERROR(VLOOKUP(H428,Clientes!$A$2:$H$400,4,0),"")</f>
        <v/>
      </c>
      <c r="T428" s="16">
        <f>IFERROR(VLOOKUP(H428,Clientes!$A$2:$H$400,5,0),"")</f>
        <v/>
      </c>
      <c r="U428" s="16">
        <f>IFERROR(VLOOKUP(F428,'LP MONCAR'!$A$4:$D$500,4,0),"")</f>
        <v/>
      </c>
    </row>
    <row r="429">
      <c r="A429" s="37" t="n"/>
      <c r="B429" s="16" t="n">
        <v>1329</v>
      </c>
      <c r="C429" s="16" t="inlineStr">
        <is>
          <t>Maxi</t>
        </is>
      </c>
      <c r="D429" s="17" t="n">
        <v>46174</v>
      </c>
      <c r="E429" s="16">
        <f>IFERROR(IF(LEFT(F429,2)="RM","RMH","MONCAR"),"")</f>
        <v/>
      </c>
      <c r="F429" s="16" t="inlineStr">
        <is>
          <t>CF 056</t>
        </is>
      </c>
      <c r="G429" s="16" t="n">
        <v>10</v>
      </c>
      <c r="H429" s="16" t="inlineStr">
        <is>
          <t>FERRETERIA OMEGA</t>
        </is>
      </c>
      <c r="I429" s="19" t="n"/>
      <c r="J429" s="18">
        <f>IF(TRIM(F429)="","",IF(LEFT(TRIM(F429),2)="RM",IFERROR(IF(D429&gt;=DATE(2026,4,1),INDEX('LP RMH'!$F:$F,MATCH(TRIM(F429),'LP RMH'!$A:$A,0)),INDEX('LP RMH'!$E:$E,MATCH(TRIM(F429),'LP RMH'!$A:$A,0))),0),IFERROR(INDEX('LP MONCAR'!$E:$E,MATCH(TRIM(F429),'LP MONCAR'!$A:$A,0)),0)))</f>
        <v/>
      </c>
      <c r="K429" s="18">
        <f>IF(AND(ISNUMBER(G429),ISNUMBER(J429),G429&gt;0,J429&gt;0),G429*J429,"")</f>
        <v/>
      </c>
      <c r="L429" s="16">
        <f>IF(D429&lt;&gt;"",TEXT(D429,"YYYY-MM"),"")</f>
        <v/>
      </c>
      <c r="M429" s="16" t="n"/>
      <c r="N429" s="18">
        <f>IFERROR(IF(ISNUMBER(G429),G429*VLOOKUP(F429,Costos!$A$4:$E$320,5,0),0),0)</f>
        <v/>
      </c>
      <c r="O429" s="16">
        <f>IF(K429&lt;&gt;"",K429-N429,"")</f>
        <v/>
      </c>
      <c r="P429" s="16">
        <f>IFERROR(VLOOKUP(F429,'LP MONCAR'!$A$4:$C$500,3,0),"")</f>
        <v/>
      </c>
      <c r="Q429" s="16">
        <f>IFERROR(VLOOKUP(H429,Clientes!$A$2:$H$400,2,0),"")</f>
        <v/>
      </c>
      <c r="R429" s="16">
        <f>IFERROR(VLOOKUP(H429,Clientes!$A$2:$H$400,3,0),"")</f>
        <v/>
      </c>
      <c r="S429" s="16">
        <f>IFERROR(VLOOKUP(H429,Clientes!$A$2:$H$400,4,0),"")</f>
        <v/>
      </c>
      <c r="T429" s="16">
        <f>IFERROR(VLOOKUP(H429,Clientes!$A$2:$H$400,5,0),"")</f>
        <v/>
      </c>
      <c r="U429" s="16">
        <f>IFERROR(VLOOKUP(F429,'LP MONCAR'!$A$4:$D$500,4,0),"")</f>
        <v/>
      </c>
    </row>
    <row r="430">
      <c r="A430" s="37" t="n"/>
      <c r="B430" s="16" t="n">
        <v>1329</v>
      </c>
      <c r="C430" s="16" t="inlineStr">
        <is>
          <t>Maxi</t>
        </is>
      </c>
      <c r="D430" s="17" t="n">
        <v>46174</v>
      </c>
      <c r="E430" s="16">
        <f>IFERROR(IF(LEFT(F430,2)="RM","RMH","MONCAR"),"")</f>
        <v/>
      </c>
      <c r="F430" s="16" t="inlineStr">
        <is>
          <t>CF 970</t>
        </is>
      </c>
      <c r="G430" s="16" t="n">
        <v>10</v>
      </c>
      <c r="H430" s="16" t="inlineStr">
        <is>
          <t>FERRETERIA OMEGA</t>
        </is>
      </c>
      <c r="I430" s="19" t="n"/>
      <c r="J430" s="18">
        <f>IF(TRIM(F430)="","",IF(LEFT(TRIM(F430),2)="RM",IFERROR(IF(D430&gt;=DATE(2026,4,1),INDEX('LP RMH'!$F:$F,MATCH(TRIM(F430),'LP RMH'!$A:$A,0)),INDEX('LP RMH'!$E:$E,MATCH(TRIM(F430),'LP RMH'!$A:$A,0))),0),IFERROR(INDEX('LP MONCAR'!$E:$E,MATCH(TRIM(F430),'LP MONCAR'!$A:$A,0)),0)))</f>
        <v/>
      </c>
      <c r="K430" s="18">
        <f>IF(AND(ISNUMBER(G430),ISNUMBER(J430),G430&gt;0,J430&gt;0),G430*J430,"")</f>
        <v/>
      </c>
      <c r="L430" s="16">
        <f>IF(D430&lt;&gt;"",TEXT(D430,"YYYY-MM"),"")</f>
        <v/>
      </c>
      <c r="M430" s="16" t="n"/>
      <c r="N430" s="18">
        <f>IFERROR(IF(ISNUMBER(G430),G430*VLOOKUP(F430,Costos!$A$4:$E$320,5,0),0),0)</f>
        <v/>
      </c>
      <c r="O430" s="16">
        <f>IF(K430&lt;&gt;"",K430-N430,"")</f>
        <v/>
      </c>
      <c r="P430" s="16">
        <f>IFERROR(VLOOKUP(F430,'LP MONCAR'!$A$4:$C$500,3,0),"")</f>
        <v/>
      </c>
      <c r="Q430" s="16">
        <f>IFERROR(VLOOKUP(H430,Clientes!$A$2:$H$400,2,0),"")</f>
        <v/>
      </c>
      <c r="R430" s="16">
        <f>IFERROR(VLOOKUP(H430,Clientes!$A$2:$H$400,3,0),"")</f>
        <v/>
      </c>
      <c r="S430" s="16">
        <f>IFERROR(VLOOKUP(H430,Clientes!$A$2:$H$400,4,0),"")</f>
        <v/>
      </c>
      <c r="T430" s="16">
        <f>IFERROR(VLOOKUP(H430,Clientes!$A$2:$H$400,5,0),"")</f>
        <v/>
      </c>
      <c r="U430" s="16">
        <f>IFERROR(VLOOKUP(F430,'LP MONCAR'!$A$4:$D$500,4,0),"")</f>
        <v/>
      </c>
    </row>
    <row r="431">
      <c r="A431" s="37" t="n"/>
      <c r="B431" s="16" t="n">
        <v>1329</v>
      </c>
      <c r="C431" s="16" t="inlineStr">
        <is>
          <t>Maxi</t>
        </is>
      </c>
      <c r="D431" s="17" t="n">
        <v>46174</v>
      </c>
      <c r="E431" s="16">
        <f>IFERROR(IF(LEFT(F431,2)="RM","RMH","MONCAR"),"")</f>
        <v/>
      </c>
      <c r="F431" s="16" t="inlineStr">
        <is>
          <t>CF 658</t>
        </is>
      </c>
      <c r="G431" s="16" t="n">
        <v>10</v>
      </c>
      <c r="H431" s="16" t="inlineStr">
        <is>
          <t>FERRETERIA OMEGA</t>
        </is>
      </c>
      <c r="I431" s="19" t="n"/>
      <c r="J431" s="18">
        <f>IF(TRIM(F431)="","",IF(LEFT(TRIM(F431),2)="RM",IFERROR(IF(D431&gt;=DATE(2026,4,1),INDEX('LP RMH'!$F:$F,MATCH(TRIM(F431),'LP RMH'!$A:$A,0)),INDEX('LP RMH'!$E:$E,MATCH(TRIM(F431),'LP RMH'!$A:$A,0))),0),IFERROR(INDEX('LP MONCAR'!$E:$E,MATCH(TRIM(F431),'LP MONCAR'!$A:$A,0)),0)))</f>
        <v/>
      </c>
      <c r="K431" s="18">
        <f>IF(AND(ISNUMBER(G431),ISNUMBER(J431),G431&gt;0,J431&gt;0),G431*J431,"")</f>
        <v/>
      </c>
      <c r="L431" s="16">
        <f>IF(D431&lt;&gt;"",TEXT(D431,"YYYY-MM"),"")</f>
        <v/>
      </c>
      <c r="M431" s="16" t="n"/>
      <c r="N431" s="18">
        <f>IFERROR(IF(ISNUMBER(G431),G431*VLOOKUP(F431,Costos!$A$4:$E$320,5,0),0),0)</f>
        <v/>
      </c>
      <c r="O431" s="16">
        <f>IF(K431&lt;&gt;"",K431-N431,"")</f>
        <v/>
      </c>
      <c r="P431" s="16">
        <f>IFERROR(VLOOKUP(F431,'LP MONCAR'!$A$4:$C$500,3,0),"")</f>
        <v/>
      </c>
      <c r="Q431" s="16">
        <f>IFERROR(VLOOKUP(H431,Clientes!$A$2:$H$400,2,0),"")</f>
        <v/>
      </c>
      <c r="R431" s="16">
        <f>IFERROR(VLOOKUP(H431,Clientes!$A$2:$H$400,3,0),"")</f>
        <v/>
      </c>
      <c r="S431" s="16">
        <f>IFERROR(VLOOKUP(H431,Clientes!$A$2:$H$400,4,0),"")</f>
        <v/>
      </c>
      <c r="T431" s="16">
        <f>IFERROR(VLOOKUP(H431,Clientes!$A$2:$H$400,5,0),"")</f>
        <v/>
      </c>
      <c r="U431" s="16">
        <f>IFERROR(VLOOKUP(F431,'LP MONCAR'!$A$4:$D$500,4,0),"")</f>
        <v/>
      </c>
    </row>
    <row r="432">
      <c r="A432" s="37" t="n"/>
      <c r="B432" s="16" t="n">
        <v>1329</v>
      </c>
      <c r="C432" s="16" t="inlineStr">
        <is>
          <t>Maxi</t>
        </is>
      </c>
      <c r="D432" s="17" t="n">
        <v>46174</v>
      </c>
      <c r="E432" s="16">
        <f>IFERROR(IF(LEFT(F432,2)="RM","RMH","MONCAR"),"")</f>
        <v/>
      </c>
      <c r="F432" s="16" t="inlineStr">
        <is>
          <t>CE 307</t>
        </is>
      </c>
      <c r="G432" s="16" t="n">
        <v>10</v>
      </c>
      <c r="H432" s="16" t="inlineStr">
        <is>
          <t>FERRETERIA OMEGA</t>
        </is>
      </c>
      <c r="I432" s="19" t="n"/>
      <c r="J432" s="24">
        <f>IF(TRIM(F432)="","",IF(LEFT(TRIM(F432),2)="RM",IFERROR(IF(D432&gt;=DATE(2026,4,1),INDEX('LP RMH'!$F:$F,MATCH(TRIM(F432),'LP RMH'!$A:$A,0)),INDEX('LP RMH'!$E:$E,MATCH(TRIM(F432),'LP RMH'!$A:$A,0))),0),IFERROR(INDEX('LP MONCAR'!$E:$E,MATCH(TRIM(F432),'LP MONCAR'!$A:$A,0)),0)))</f>
        <v/>
      </c>
      <c r="K432" s="18">
        <f>IF(AND(ISNUMBER(G432),ISNUMBER(J432),G432&gt;0,J432&gt;0),G432*J432,"")</f>
        <v/>
      </c>
      <c r="L432" s="16">
        <f>IF(D432&lt;&gt;"",TEXT(D432,"YYYY-MM"),"")</f>
        <v/>
      </c>
      <c r="M432" s="16" t="inlineStr">
        <is>
          <t>no me da el precio este</t>
        </is>
      </c>
      <c r="N432" s="18">
        <f>IFERROR(IF(ISNUMBER(G432),G432*VLOOKUP(F432,Costos!$A$4:$E$320,5,0),0),0)</f>
        <v/>
      </c>
      <c r="O432" s="16">
        <f>IF(K432&lt;&gt;"",K432-N432,"")</f>
        <v/>
      </c>
      <c r="P432" s="16">
        <f>IFERROR(VLOOKUP(F432,'LP MONCAR'!$A$4:$C$500,3,0),"")</f>
        <v/>
      </c>
      <c r="Q432" s="16">
        <f>IFERROR(VLOOKUP(H432,Clientes!$A$2:$H$400,2,0),"")</f>
        <v/>
      </c>
      <c r="R432" s="16">
        <f>IFERROR(VLOOKUP(H432,Clientes!$A$2:$H$400,3,0),"")</f>
        <v/>
      </c>
      <c r="S432" s="16">
        <f>IFERROR(VLOOKUP(H432,Clientes!$A$2:$H$400,4,0),"")</f>
        <v/>
      </c>
      <c r="T432" s="16">
        <f>IFERROR(VLOOKUP(H432,Clientes!$A$2:$H$400,5,0),"")</f>
        <v/>
      </c>
      <c r="U432" s="16">
        <f>IFERROR(VLOOKUP(F432,'LP MONCAR'!$A$4:$D$500,4,0),"")</f>
        <v/>
      </c>
    </row>
    <row r="433">
      <c r="A433" s="37" t="n"/>
      <c r="B433" s="16" t="n"/>
      <c r="C433" s="16" t="n"/>
      <c r="D433" s="17" t="n"/>
      <c r="E433" s="16">
        <f>IFERROR(IF(LEFT(F433,2)="RM","RMH","MONCAR"),"")</f>
        <v/>
      </c>
      <c r="F433" s="16" t="inlineStr">
        <is>
          <t>SC 07</t>
        </is>
      </c>
      <c r="G433" s="16" t="n">
        <v>20</v>
      </c>
      <c r="H433" s="16" t="n"/>
      <c r="I433" s="19" t="n"/>
      <c r="J433" s="18">
        <f>IF(TRIM(F433)="","",IF(LEFT(TRIM(F433),2)="RM",IFERROR(IF(D433&gt;=DATE(2026,4,1),INDEX('LP RMH'!$F:$F,MATCH(TRIM(F433),'LP RMH'!$A:$A,0)),INDEX('LP RMH'!$E:$E,MATCH(TRIM(F433),'LP RMH'!$A:$A,0))),0),IFERROR(INDEX('LP MONCAR'!$E:$E,MATCH(TRIM(F433),'LP MONCAR'!$A:$A,0)),0)))</f>
        <v/>
      </c>
      <c r="K433" s="18">
        <f>IF(AND(ISNUMBER(G433),ISNUMBER(J433),G433&gt;0,J433&gt;0),G433*J433,"")</f>
        <v/>
      </c>
      <c r="L433" s="16">
        <f>IF(D433&lt;&gt;"",TEXT(D433,"YYYY-MM"),"")</f>
        <v/>
      </c>
      <c r="M433" s="16" t="n"/>
      <c r="N433" s="18">
        <f>IFERROR(IF(ISNUMBER(G433),G433*VLOOKUP(F433,Costos!$A$4:$E$320,5,0),0),0)</f>
        <v/>
      </c>
      <c r="O433" s="16">
        <f>IF(K433&lt;&gt;"",K433-N433,"")</f>
        <v/>
      </c>
      <c r="P433" s="16">
        <f>IFERROR(VLOOKUP(F433,'LP MONCAR'!$A$4:$C$500,3,0),"")</f>
        <v/>
      </c>
      <c r="Q433" s="16">
        <f>IFERROR(VLOOKUP(H433,Clientes!$A$2:$H$400,2,0),"")</f>
        <v/>
      </c>
      <c r="R433" s="16">
        <f>IFERROR(VLOOKUP(H433,Clientes!$A$2:$H$400,3,0),"")</f>
        <v/>
      </c>
      <c r="S433" s="16">
        <f>IFERROR(VLOOKUP(H433,Clientes!$A$2:$H$400,4,0),"")</f>
        <v/>
      </c>
      <c r="T433" s="16">
        <f>IFERROR(VLOOKUP(H433,Clientes!$A$2:$H$400,5,0),"")</f>
        <v/>
      </c>
      <c r="U433" s="16">
        <f>IFERROR(VLOOKUP(F433,'LP MONCAR'!$A$4:$D$500,4,0),"")</f>
        <v/>
      </c>
    </row>
    <row r="434">
      <c r="A434" s="37" t="n"/>
      <c r="B434" s="16" t="n">
        <v>4204</v>
      </c>
      <c r="C434" s="16" t="inlineStr">
        <is>
          <t>Maxi</t>
        </is>
      </c>
      <c r="D434" s="17" t="n">
        <v>46198</v>
      </c>
      <c r="E434" s="16">
        <f>IFERROR(IF(LEFT(F434,2)="RM","RMH","MONCAR"),"")</f>
        <v/>
      </c>
      <c r="F434" s="16" t="inlineStr">
        <is>
          <t>CF 017</t>
        </is>
      </c>
      <c r="G434" s="16" t="n">
        <v>2</v>
      </c>
      <c r="H434" s="16" t="inlineStr">
        <is>
          <t>FERREMAX</t>
        </is>
      </c>
      <c r="I434" s="19" t="n"/>
      <c r="J434" s="18">
        <f>IF(TRIM(F434)="","",IF(LEFT(TRIM(F434),2)="RM",IFERROR(IF(D434&gt;=DATE(2026,4,1),INDEX('LP RMH'!$F:$F,MATCH(TRIM(F434),'LP RMH'!$A:$A,0)),INDEX('LP RMH'!$E:$E,MATCH(TRIM(F434),'LP RMH'!$A:$A,0))),0),IFERROR(INDEX('LP MONCAR'!$E:$E,MATCH(TRIM(F434),'LP MONCAR'!$A:$A,0)),0)))</f>
        <v/>
      </c>
      <c r="K434" s="18">
        <f>IF(AND(ISNUMBER(G434),ISNUMBER(J434),G434&gt;0,J434&gt;0),G434*J434,"")</f>
        <v/>
      </c>
      <c r="L434" s="16">
        <f>IF(D434&lt;&gt;"",TEXT(D434,"YYYY-MM"),"")</f>
        <v/>
      </c>
      <c r="M434" s="16" t="n"/>
      <c r="N434" s="18">
        <f>IFERROR(IF(ISNUMBER(G434),G434*VLOOKUP(F434,Costos!$A$4:$E$320,5,0),0),0)</f>
        <v/>
      </c>
      <c r="O434" s="16">
        <f>IF(K434&lt;&gt;"",K434-N434,"")</f>
        <v/>
      </c>
      <c r="P434" s="16">
        <f>IFERROR(VLOOKUP(F434,'LP MONCAR'!$A$4:$C$500,3,0),"")</f>
        <v/>
      </c>
      <c r="Q434" s="16">
        <f>IFERROR(VLOOKUP(H434,Clientes!$A$2:$H$400,2,0),"")</f>
        <v/>
      </c>
      <c r="R434" s="16">
        <f>IFERROR(VLOOKUP(H434,Clientes!$A$2:$H$400,3,0),"")</f>
        <v/>
      </c>
      <c r="S434" s="16">
        <f>IFERROR(VLOOKUP(H434,Clientes!$A$2:$H$400,4,0),"")</f>
        <v/>
      </c>
      <c r="T434" s="16">
        <f>IFERROR(VLOOKUP(H434,Clientes!$A$2:$H$400,5,0),"")</f>
        <v/>
      </c>
      <c r="U434" s="16">
        <f>IFERROR(VLOOKUP(F434,'LP MONCAR'!$A$4:$D$500,4,0),"")</f>
        <v/>
      </c>
    </row>
    <row r="435">
      <c r="A435" s="37" t="n"/>
      <c r="B435" s="16" t="n">
        <v>4204</v>
      </c>
      <c r="C435" s="16" t="inlineStr">
        <is>
          <t>Maxi</t>
        </is>
      </c>
      <c r="D435" s="17" t="n">
        <v>46198</v>
      </c>
      <c r="E435" s="16">
        <f>IFERROR(IF(LEFT(F435,2)="RM","RMH","MONCAR"),"")</f>
        <v/>
      </c>
      <c r="F435" s="16" t="inlineStr">
        <is>
          <t>CF 020</t>
        </is>
      </c>
      <c r="G435" s="16" t="n">
        <v>3</v>
      </c>
      <c r="H435" s="16" t="inlineStr">
        <is>
          <t>FERREMAX</t>
        </is>
      </c>
      <c r="I435" s="19" t="n"/>
      <c r="J435" s="18">
        <f>IF(TRIM(F435)="","",IF(LEFT(TRIM(F435),2)="RM",IFERROR(IF(D435&gt;=DATE(2026,4,1),INDEX('LP RMH'!$F:$F,MATCH(TRIM(F435),'LP RMH'!$A:$A,0)),INDEX('LP RMH'!$E:$E,MATCH(TRIM(F435),'LP RMH'!$A:$A,0))),0),IFERROR(INDEX('LP MONCAR'!$E:$E,MATCH(TRIM(F435),'LP MONCAR'!$A:$A,0)),0)))</f>
        <v/>
      </c>
      <c r="K435" s="18">
        <f>IF(AND(ISNUMBER(G435),ISNUMBER(J435),G435&gt;0,J435&gt;0),G435*J435,"")</f>
        <v/>
      </c>
      <c r="L435" s="16">
        <f>IF(D435&lt;&gt;"",TEXT(D435,"YYYY-MM"),"")</f>
        <v/>
      </c>
      <c r="M435" s="16" t="n"/>
      <c r="N435" s="18">
        <f>IFERROR(IF(ISNUMBER(G435),G435*VLOOKUP(F435,Costos!$A$4:$E$320,5,0),0),0)</f>
        <v/>
      </c>
      <c r="O435" s="16">
        <f>IF(K435&lt;&gt;"",K435-N435,"")</f>
        <v/>
      </c>
      <c r="P435" s="16">
        <f>IFERROR(VLOOKUP(F435,'LP MONCAR'!$A$4:$C$500,3,0),"")</f>
        <v/>
      </c>
      <c r="Q435" s="16">
        <f>IFERROR(VLOOKUP(H435,Clientes!$A$2:$H$400,2,0),"")</f>
        <v/>
      </c>
      <c r="R435" s="16">
        <f>IFERROR(VLOOKUP(H435,Clientes!$A$2:$H$400,3,0),"")</f>
        <v/>
      </c>
      <c r="S435" s="16">
        <f>IFERROR(VLOOKUP(H435,Clientes!$A$2:$H$400,4,0),"")</f>
        <v/>
      </c>
      <c r="T435" s="16">
        <f>IFERROR(VLOOKUP(H435,Clientes!$A$2:$H$400,5,0),"")</f>
        <v/>
      </c>
      <c r="U435" s="16">
        <f>IFERROR(VLOOKUP(F435,'LP MONCAR'!$A$4:$D$500,4,0),"")</f>
        <v/>
      </c>
    </row>
    <row r="436">
      <c r="A436" s="37" t="n"/>
      <c r="B436" s="16" t="n">
        <v>4204</v>
      </c>
      <c r="C436" s="16" t="inlineStr">
        <is>
          <t>Maxi</t>
        </is>
      </c>
      <c r="D436" s="17" t="n">
        <v>46198</v>
      </c>
      <c r="E436" s="16">
        <f>IFERROR(IF(LEFT(F436,2)="RM","RMH","MONCAR"),"")</f>
        <v/>
      </c>
      <c r="F436" s="16" t="inlineStr">
        <is>
          <t>CF 003</t>
        </is>
      </c>
      <c r="G436" s="16" t="n">
        <v>2</v>
      </c>
      <c r="H436" s="16" t="inlineStr">
        <is>
          <t>FERREMAX</t>
        </is>
      </c>
      <c r="I436" s="19" t="n"/>
      <c r="J436" s="18">
        <f>IF(TRIM(F436)="","",IF(LEFT(TRIM(F436),2)="RM",IFERROR(IF(D436&gt;=DATE(2026,4,1),INDEX('LP RMH'!$F:$F,MATCH(TRIM(F436),'LP RMH'!$A:$A,0)),INDEX('LP RMH'!$E:$E,MATCH(TRIM(F436),'LP RMH'!$A:$A,0))),0),IFERROR(INDEX('LP MONCAR'!$E:$E,MATCH(TRIM(F436),'LP MONCAR'!$A:$A,0)),0)))</f>
        <v/>
      </c>
      <c r="K436" s="18">
        <f>IF(AND(ISNUMBER(G436),ISNUMBER(J436),G436&gt;0,J436&gt;0),G436*J436,"")</f>
        <v/>
      </c>
      <c r="L436" s="16">
        <f>IF(D436&lt;&gt;"",TEXT(D436,"YYYY-MM"),"")</f>
        <v/>
      </c>
      <c r="M436" s="16" t="n"/>
      <c r="N436" s="18">
        <f>IFERROR(IF(ISNUMBER(G436),G436*VLOOKUP(F436,Costos!$A$4:$E$320,5,0),0),0)</f>
        <v/>
      </c>
      <c r="O436" s="16">
        <f>IF(K436&lt;&gt;"",K436-N436,"")</f>
        <v/>
      </c>
      <c r="P436" s="16">
        <f>IFERROR(VLOOKUP(F436,'LP MONCAR'!$A$4:$C$500,3,0),"")</f>
        <v/>
      </c>
      <c r="Q436" s="16">
        <f>IFERROR(VLOOKUP(H436,Clientes!$A$2:$H$400,2,0),"")</f>
        <v/>
      </c>
      <c r="R436" s="16">
        <f>IFERROR(VLOOKUP(H436,Clientes!$A$2:$H$400,3,0),"")</f>
        <v/>
      </c>
      <c r="S436" s="16">
        <f>IFERROR(VLOOKUP(H436,Clientes!$A$2:$H$400,4,0),"")</f>
        <v/>
      </c>
      <c r="T436" s="16">
        <f>IFERROR(VLOOKUP(H436,Clientes!$A$2:$H$400,5,0),"")</f>
        <v/>
      </c>
      <c r="U436" s="16">
        <f>IFERROR(VLOOKUP(F436,'LP MONCAR'!$A$4:$D$500,4,0),"")</f>
        <v/>
      </c>
    </row>
    <row r="437">
      <c r="A437" s="37" t="n"/>
      <c r="B437" s="16" t="n">
        <v>4204</v>
      </c>
      <c r="C437" s="16" t="inlineStr">
        <is>
          <t>Maxi</t>
        </is>
      </c>
      <c r="D437" s="17" t="n">
        <v>46198</v>
      </c>
      <c r="E437" s="16">
        <f>IFERROR(IF(LEFT(F437,2)="RM","RMH","MONCAR"),"")</f>
        <v/>
      </c>
      <c r="F437" s="16" t="inlineStr">
        <is>
          <t>CF 042</t>
        </is>
      </c>
      <c r="G437" s="16" t="n">
        <v>2</v>
      </c>
      <c r="H437" s="16" t="inlineStr">
        <is>
          <t>FERREMAX</t>
        </is>
      </c>
      <c r="I437" s="19" t="n"/>
      <c r="J437" s="18">
        <f>IF(TRIM(F437)="","",IF(LEFT(TRIM(F437),2)="RM",IFERROR(IF(D437&gt;=DATE(2026,4,1),INDEX('LP RMH'!$F:$F,MATCH(TRIM(F437),'LP RMH'!$A:$A,0)),INDEX('LP RMH'!$E:$E,MATCH(TRIM(F437),'LP RMH'!$A:$A,0))),0),IFERROR(INDEX('LP MONCAR'!$E:$E,MATCH(TRIM(F437),'LP MONCAR'!$A:$A,0)),0)))</f>
        <v/>
      </c>
      <c r="K437" s="18">
        <f>IF(AND(ISNUMBER(G437),ISNUMBER(J437),G437&gt;0,J437&gt;0),G437*J437,"")</f>
        <v/>
      </c>
      <c r="L437" s="16">
        <f>IF(D437&lt;&gt;"",TEXT(D437,"YYYY-MM"),"")</f>
        <v/>
      </c>
      <c r="M437" s="16" t="n"/>
      <c r="N437" s="18">
        <f>IFERROR(IF(ISNUMBER(G437),G437*VLOOKUP(F437,Costos!$A$4:$E$320,5,0),0),0)</f>
        <v/>
      </c>
      <c r="O437" s="16">
        <f>IF(K437&lt;&gt;"",K437-N437,"")</f>
        <v/>
      </c>
      <c r="P437" s="16">
        <f>IFERROR(VLOOKUP(F437,'LP MONCAR'!$A$4:$C$500,3,0),"")</f>
        <v/>
      </c>
      <c r="Q437" s="16">
        <f>IFERROR(VLOOKUP(H437,Clientes!$A$2:$H$400,2,0),"")</f>
        <v/>
      </c>
      <c r="R437" s="16">
        <f>IFERROR(VLOOKUP(H437,Clientes!$A$2:$H$400,3,0),"")</f>
        <v/>
      </c>
      <c r="S437" s="16">
        <f>IFERROR(VLOOKUP(H437,Clientes!$A$2:$H$400,4,0),"")</f>
        <v/>
      </c>
      <c r="T437" s="16">
        <f>IFERROR(VLOOKUP(H437,Clientes!$A$2:$H$400,5,0),"")</f>
        <v/>
      </c>
      <c r="U437" s="16">
        <f>IFERROR(VLOOKUP(F437,'LP MONCAR'!$A$4:$D$500,4,0),"")</f>
        <v/>
      </c>
    </row>
    <row r="438">
      <c r="A438" s="37" t="n"/>
      <c r="B438" s="16" t="n">
        <v>4206</v>
      </c>
      <c r="C438" s="16" t="inlineStr">
        <is>
          <t>Maxi</t>
        </is>
      </c>
      <c r="D438" s="17" t="n">
        <v>46198</v>
      </c>
      <c r="E438" s="16">
        <f>IFERROR(IF(LEFT(F438,2)="RM","RMH","MONCAR"),"")</f>
        <v/>
      </c>
      <c r="F438" s="16" t="inlineStr">
        <is>
          <t>CF 663</t>
        </is>
      </c>
      <c r="G438" s="16" t="n">
        <v>2</v>
      </c>
      <c r="H438" s="16" t="inlineStr">
        <is>
          <t>MAQTOOLS</t>
        </is>
      </c>
      <c r="I438" s="19" t="n"/>
      <c r="J438" s="18">
        <f>IF(TRIM(F438)="","",IF(LEFT(TRIM(F438),2)="RM",IFERROR(IF(D438&gt;=DATE(2026,4,1),INDEX('LP RMH'!$F:$F,MATCH(TRIM(F438),'LP RMH'!$A:$A,0)),INDEX('LP RMH'!$E:$E,MATCH(TRIM(F438),'LP RMH'!$A:$A,0))),0),IFERROR(INDEX('LP MONCAR'!$E:$E,MATCH(TRIM(F438),'LP MONCAR'!$A:$A,0)),0)))</f>
        <v/>
      </c>
      <c r="K438" s="18">
        <f>IF(AND(ISNUMBER(G438),ISNUMBER(J438),G438&gt;0,J438&gt;0),G438*J438,"")</f>
        <v/>
      </c>
      <c r="L438" s="16">
        <f>IF(D438&lt;&gt;"",TEXT(D438,"YYYY-MM"),"")</f>
        <v/>
      </c>
      <c r="M438" s="16" t="n"/>
      <c r="N438" s="18">
        <f>IFERROR(IF(ISNUMBER(G438),G438*VLOOKUP(F438,Costos!$A$4:$E$320,5,0),0),0)</f>
        <v/>
      </c>
      <c r="O438" s="16">
        <f>IF(K438&lt;&gt;"",K438-N438,"")</f>
        <v/>
      </c>
      <c r="P438" s="16">
        <f>IFERROR(VLOOKUP(F438,'LP MONCAR'!$A$4:$C$500,3,0),"")</f>
        <v/>
      </c>
      <c r="Q438" s="16">
        <f>IFERROR(VLOOKUP(H438,Clientes!$A$2:$H$400,2,0),"")</f>
        <v/>
      </c>
      <c r="R438" s="16">
        <f>IFERROR(VLOOKUP(H438,Clientes!$A$2:$H$400,3,0),"")</f>
        <v/>
      </c>
      <c r="S438" s="16">
        <f>IFERROR(VLOOKUP(H438,Clientes!$A$2:$H$400,4,0),"")</f>
        <v/>
      </c>
      <c r="T438" s="16">
        <f>IFERROR(VLOOKUP(H438,Clientes!$A$2:$H$400,5,0),"")</f>
        <v/>
      </c>
      <c r="U438" s="16">
        <f>IFERROR(VLOOKUP(F438,'LP MONCAR'!$A$4:$D$500,4,0),"")</f>
        <v/>
      </c>
    </row>
    <row r="439">
      <c r="A439" s="37" t="n"/>
      <c r="B439" s="16" t="n">
        <v>4206</v>
      </c>
      <c r="C439" s="16" t="inlineStr">
        <is>
          <t>Maxi</t>
        </is>
      </c>
      <c r="D439" s="17" t="n">
        <v>46198</v>
      </c>
      <c r="E439" s="16">
        <f>IFERROR(IF(LEFT(F439,2)="RM","RMH","MONCAR"),"")</f>
        <v/>
      </c>
      <c r="F439" s="16" t="inlineStr">
        <is>
          <t>CF 019</t>
        </is>
      </c>
      <c r="G439" s="16" t="n">
        <v>3</v>
      </c>
      <c r="H439" s="16" t="inlineStr">
        <is>
          <t>MAQTOOLS</t>
        </is>
      </c>
      <c r="I439" s="19" t="n"/>
      <c r="J439" s="18">
        <f>IF(TRIM(F439)="","",IF(LEFT(TRIM(F439),2)="RM",IFERROR(IF(D439&gt;=DATE(2026,4,1),INDEX('LP RMH'!$F:$F,MATCH(TRIM(F439),'LP RMH'!$A:$A,0)),INDEX('LP RMH'!$E:$E,MATCH(TRIM(F439),'LP RMH'!$A:$A,0))),0),IFERROR(INDEX('LP MONCAR'!$E:$E,MATCH(TRIM(F439),'LP MONCAR'!$A:$A,0)),0)))</f>
        <v/>
      </c>
      <c r="K439" s="18">
        <f>IF(AND(ISNUMBER(G439),ISNUMBER(J439),G439&gt;0,J439&gt;0),G439*J439,"")</f>
        <v/>
      </c>
      <c r="L439" s="16">
        <f>IF(D439&lt;&gt;"",TEXT(D439,"YYYY-MM"),"")</f>
        <v/>
      </c>
      <c r="M439" s="16" t="n"/>
      <c r="N439" s="18">
        <f>IFERROR(IF(ISNUMBER(G439),G439*VLOOKUP(F439,Costos!$A$4:$E$320,5,0),0),0)</f>
        <v/>
      </c>
      <c r="O439" s="16">
        <f>IF(K439&lt;&gt;"",K439-N439,"")</f>
        <v/>
      </c>
      <c r="P439" s="16">
        <f>IFERROR(VLOOKUP(F439,'LP MONCAR'!$A$4:$C$500,3,0),"")</f>
        <v/>
      </c>
      <c r="Q439" s="16">
        <f>IFERROR(VLOOKUP(H439,Clientes!$A$2:$H$400,2,0),"")</f>
        <v/>
      </c>
      <c r="R439" s="16">
        <f>IFERROR(VLOOKUP(H439,Clientes!$A$2:$H$400,3,0),"")</f>
        <v/>
      </c>
      <c r="S439" s="16">
        <f>IFERROR(VLOOKUP(H439,Clientes!$A$2:$H$400,4,0),"")</f>
        <v/>
      </c>
      <c r="T439" s="16">
        <f>IFERROR(VLOOKUP(H439,Clientes!$A$2:$H$400,5,0),"")</f>
        <v/>
      </c>
      <c r="U439" s="16">
        <f>IFERROR(VLOOKUP(F439,'LP MONCAR'!$A$4:$D$500,4,0),"")</f>
        <v/>
      </c>
    </row>
    <row r="440">
      <c r="A440" s="37" t="n"/>
      <c r="B440" s="16" t="n">
        <v>4206</v>
      </c>
      <c r="C440" s="16" t="inlineStr">
        <is>
          <t>Maxi</t>
        </is>
      </c>
      <c r="D440" s="17" t="n">
        <v>46198</v>
      </c>
      <c r="E440" s="16">
        <f>IFERROR(IF(LEFT(F440,2)="RM","RMH","MONCAR"),"")</f>
        <v/>
      </c>
      <c r="F440" s="16" t="inlineStr">
        <is>
          <t>CF 020</t>
        </is>
      </c>
      <c r="G440" s="16" t="n">
        <v>2</v>
      </c>
      <c r="H440" s="16" t="inlineStr">
        <is>
          <t>MAQTOOLS</t>
        </is>
      </c>
      <c r="I440" s="19" t="n"/>
      <c r="J440" s="18">
        <f>IF(TRIM(F440)="","",IF(LEFT(TRIM(F440),2)="RM",IFERROR(IF(D440&gt;=DATE(2026,4,1),INDEX('LP RMH'!$F:$F,MATCH(TRIM(F440),'LP RMH'!$A:$A,0)),INDEX('LP RMH'!$E:$E,MATCH(TRIM(F440),'LP RMH'!$A:$A,0))),0),IFERROR(INDEX('LP MONCAR'!$E:$E,MATCH(TRIM(F440),'LP MONCAR'!$A:$A,0)),0)))</f>
        <v/>
      </c>
      <c r="K440" s="18">
        <f>IF(AND(ISNUMBER(G440),ISNUMBER(J440),G440&gt;0,J440&gt;0),G440*J440,"")</f>
        <v/>
      </c>
      <c r="L440" s="16">
        <f>IF(D440&lt;&gt;"",TEXT(D440,"YYYY-MM"),"")</f>
        <v/>
      </c>
      <c r="M440" s="16" t="n"/>
      <c r="N440" s="18">
        <f>IFERROR(IF(ISNUMBER(G440),G440*VLOOKUP(F440,Costos!$A$4:$E$320,5,0),0),0)</f>
        <v/>
      </c>
      <c r="O440" s="16">
        <f>IF(K440&lt;&gt;"",K440-N440,"")</f>
        <v/>
      </c>
      <c r="P440" s="16">
        <f>IFERROR(VLOOKUP(F440,'LP MONCAR'!$A$4:$C$500,3,0),"")</f>
        <v/>
      </c>
      <c r="Q440" s="16">
        <f>IFERROR(VLOOKUP(H440,Clientes!$A$2:$H$400,2,0),"")</f>
        <v/>
      </c>
      <c r="R440" s="16">
        <f>IFERROR(VLOOKUP(H440,Clientes!$A$2:$H$400,3,0),"")</f>
        <v/>
      </c>
      <c r="S440" s="16">
        <f>IFERROR(VLOOKUP(H440,Clientes!$A$2:$H$400,4,0),"")</f>
        <v/>
      </c>
      <c r="T440" s="16">
        <f>IFERROR(VLOOKUP(H440,Clientes!$A$2:$H$400,5,0),"")</f>
        <v/>
      </c>
      <c r="U440" s="16">
        <f>IFERROR(VLOOKUP(F440,'LP MONCAR'!$A$4:$D$500,4,0),"")</f>
        <v/>
      </c>
    </row>
    <row r="441">
      <c r="A441" s="37" t="n"/>
      <c r="B441" s="16" t="n">
        <v>4206</v>
      </c>
      <c r="C441" s="16" t="inlineStr">
        <is>
          <t>Maxi</t>
        </is>
      </c>
      <c r="D441" s="17" t="n">
        <v>46198</v>
      </c>
      <c r="E441" s="16">
        <f>IFERROR(IF(LEFT(F441,2)="RM","RMH","MONCAR"),"")</f>
        <v/>
      </c>
      <c r="F441" s="16" t="inlineStr">
        <is>
          <t>CF 611</t>
        </is>
      </c>
      <c r="G441" s="16" t="n">
        <v>3</v>
      </c>
      <c r="H441" s="16" t="inlineStr">
        <is>
          <t>MAQTOOLS</t>
        </is>
      </c>
      <c r="I441" s="19" t="n"/>
      <c r="J441" s="18">
        <f>IF(TRIM(F441)="","",IF(LEFT(TRIM(F441),2)="RM",IFERROR(IF(D441&gt;=DATE(2026,4,1),INDEX('LP RMH'!$F:$F,MATCH(TRIM(F441),'LP RMH'!$A:$A,0)),INDEX('LP RMH'!$E:$E,MATCH(TRIM(F441),'LP RMH'!$A:$A,0))),0),IFERROR(INDEX('LP MONCAR'!$E:$E,MATCH(TRIM(F441),'LP MONCAR'!$A:$A,0)),0)))</f>
        <v/>
      </c>
      <c r="K441" s="18">
        <f>IF(AND(ISNUMBER(G441),ISNUMBER(J441),G441&gt;0,J441&gt;0),G441*J441,"")</f>
        <v/>
      </c>
      <c r="L441" s="16">
        <f>IF(D441&lt;&gt;"",TEXT(D441,"YYYY-MM"),"")</f>
        <v/>
      </c>
      <c r="M441" s="16" t="n"/>
      <c r="N441" s="18">
        <f>IFERROR(IF(ISNUMBER(G441),G441*VLOOKUP(F441,Costos!$A$4:$E$320,5,0),0),0)</f>
        <v/>
      </c>
      <c r="O441" s="16">
        <f>IF(K441&lt;&gt;"",K441-N441,"")</f>
        <v/>
      </c>
      <c r="P441" s="16">
        <f>IFERROR(VLOOKUP(F441,'LP MONCAR'!$A$4:$C$500,3,0),"")</f>
        <v/>
      </c>
      <c r="Q441" s="16">
        <f>IFERROR(VLOOKUP(H441,Clientes!$A$2:$H$400,2,0),"")</f>
        <v/>
      </c>
      <c r="R441" s="16">
        <f>IFERROR(VLOOKUP(H441,Clientes!$A$2:$H$400,3,0),"")</f>
        <v/>
      </c>
      <c r="S441" s="16">
        <f>IFERROR(VLOOKUP(H441,Clientes!$A$2:$H$400,4,0),"")</f>
        <v/>
      </c>
      <c r="T441" s="16">
        <f>IFERROR(VLOOKUP(H441,Clientes!$A$2:$H$400,5,0),"")</f>
        <v/>
      </c>
      <c r="U441" s="16">
        <f>IFERROR(VLOOKUP(F441,'LP MONCAR'!$A$4:$D$500,4,0),"")</f>
        <v/>
      </c>
    </row>
    <row r="442">
      <c r="A442" s="37" t="n"/>
      <c r="B442" s="16" t="n">
        <v>4206</v>
      </c>
      <c r="C442" s="16" t="inlineStr">
        <is>
          <t>Maxi</t>
        </is>
      </c>
      <c r="D442" s="17" t="n">
        <v>46198</v>
      </c>
      <c r="E442" s="16">
        <f>IFERROR(IF(LEFT(F442,2)="RM","RMH","MONCAR"),"")</f>
        <v/>
      </c>
      <c r="F442" s="16" t="inlineStr">
        <is>
          <t>CF 614</t>
        </is>
      </c>
      <c r="G442" s="16" t="n">
        <v>2</v>
      </c>
      <c r="H442" s="16" t="inlineStr">
        <is>
          <t>MAQTOOLS</t>
        </is>
      </c>
      <c r="I442" s="19" t="n"/>
      <c r="J442" s="18">
        <f>IF(TRIM(F442)="","",IF(LEFT(TRIM(F442),2)="RM",IFERROR(IF(D442&gt;=DATE(2026,4,1),INDEX('LP RMH'!$F:$F,MATCH(TRIM(F442),'LP RMH'!$A:$A,0)),INDEX('LP RMH'!$E:$E,MATCH(TRIM(F442),'LP RMH'!$A:$A,0))),0),IFERROR(INDEX('LP MONCAR'!$E:$E,MATCH(TRIM(F442),'LP MONCAR'!$A:$A,0)),0)))</f>
        <v/>
      </c>
      <c r="K442" s="18">
        <f>IF(AND(ISNUMBER(G442),ISNUMBER(J442),G442&gt;0,J442&gt;0),G442*J442,"")</f>
        <v/>
      </c>
      <c r="L442" s="16">
        <f>IF(D442&lt;&gt;"",TEXT(D442,"YYYY-MM"),"")</f>
        <v/>
      </c>
      <c r="M442" s="16" t="n"/>
      <c r="N442" s="18">
        <f>IFERROR(IF(ISNUMBER(G442),G442*VLOOKUP(F442,Costos!$A$4:$E$320,5,0),0),0)</f>
        <v/>
      </c>
      <c r="O442" s="16">
        <f>IF(K442&lt;&gt;"",K442-N442,"")</f>
        <v/>
      </c>
      <c r="P442" s="16">
        <f>IFERROR(VLOOKUP(F442,'LP MONCAR'!$A$4:$C$500,3,0),"")</f>
        <v/>
      </c>
      <c r="Q442" s="16">
        <f>IFERROR(VLOOKUP(H442,Clientes!$A$2:$H$400,2,0),"")</f>
        <v/>
      </c>
      <c r="R442" s="16">
        <f>IFERROR(VLOOKUP(H442,Clientes!$A$2:$H$400,3,0),"")</f>
        <v/>
      </c>
      <c r="S442" s="16">
        <f>IFERROR(VLOOKUP(H442,Clientes!$A$2:$H$400,4,0),"")</f>
        <v/>
      </c>
      <c r="T442" s="16">
        <f>IFERROR(VLOOKUP(H442,Clientes!$A$2:$H$400,5,0),"")</f>
        <v/>
      </c>
      <c r="U442" s="16">
        <f>IFERROR(VLOOKUP(F442,'LP MONCAR'!$A$4:$D$500,4,0),"")</f>
        <v/>
      </c>
    </row>
    <row r="443">
      <c r="A443" s="37" t="n"/>
      <c r="B443" s="16" t="n">
        <v>4206</v>
      </c>
      <c r="C443" s="16" t="inlineStr">
        <is>
          <t>Maxi</t>
        </is>
      </c>
      <c r="D443" s="17" t="n">
        <v>46198</v>
      </c>
      <c r="E443" s="16">
        <f>IFERROR(IF(LEFT(F443,2)="RM","RMH","MONCAR"),"")</f>
        <v/>
      </c>
      <c r="F443" s="16" t="inlineStr">
        <is>
          <t>CF 002</t>
        </is>
      </c>
      <c r="G443" s="16" t="n">
        <v>2</v>
      </c>
      <c r="H443" s="16" t="inlineStr">
        <is>
          <t>MAQTOOLS</t>
        </is>
      </c>
      <c r="I443" s="19" t="n"/>
      <c r="J443" s="18">
        <f>IF(TRIM(F443)="","",IF(LEFT(TRIM(F443),2)="RM",IFERROR(IF(D443&gt;=DATE(2026,4,1),INDEX('LP RMH'!$F:$F,MATCH(TRIM(F443),'LP RMH'!$A:$A,0)),INDEX('LP RMH'!$E:$E,MATCH(TRIM(F443),'LP RMH'!$A:$A,0))),0),IFERROR(INDEX('LP MONCAR'!$E:$E,MATCH(TRIM(F443),'LP MONCAR'!$A:$A,0)),0)))</f>
        <v/>
      </c>
      <c r="K443" s="18">
        <f>IF(AND(ISNUMBER(G443),ISNUMBER(J443),G443&gt;0,J443&gt;0),G443*J443,"")</f>
        <v/>
      </c>
      <c r="L443" s="16">
        <f>IF(D443&lt;&gt;"",TEXT(D443,"YYYY-MM"),"")</f>
        <v/>
      </c>
      <c r="M443" s="16" t="n"/>
      <c r="N443" s="18">
        <f>IFERROR(IF(ISNUMBER(G443),G443*VLOOKUP(F443,Costos!$A$4:$E$320,5,0),0),0)</f>
        <v/>
      </c>
      <c r="O443" s="16">
        <f>IF(K443&lt;&gt;"",K443-N443,"")</f>
        <v/>
      </c>
      <c r="P443" s="16">
        <f>IFERROR(VLOOKUP(F443,'LP MONCAR'!$A$4:$C$500,3,0),"")</f>
        <v/>
      </c>
      <c r="Q443" s="16">
        <f>IFERROR(VLOOKUP(H443,Clientes!$A$2:$H$400,2,0),"")</f>
        <v/>
      </c>
      <c r="R443" s="16">
        <f>IFERROR(VLOOKUP(H443,Clientes!$A$2:$H$400,3,0),"")</f>
        <v/>
      </c>
      <c r="S443" s="16">
        <f>IFERROR(VLOOKUP(H443,Clientes!$A$2:$H$400,4,0),"")</f>
        <v/>
      </c>
      <c r="T443" s="16">
        <f>IFERROR(VLOOKUP(H443,Clientes!$A$2:$H$400,5,0),"")</f>
        <v/>
      </c>
      <c r="U443" s="16">
        <f>IFERROR(VLOOKUP(F443,'LP MONCAR'!$A$4:$D$500,4,0),"")</f>
        <v/>
      </c>
    </row>
    <row r="444">
      <c r="A444" s="37" t="n"/>
      <c r="B444" s="16" t="n">
        <v>4206</v>
      </c>
      <c r="C444" s="16" t="inlineStr">
        <is>
          <t>Maxi</t>
        </is>
      </c>
      <c r="D444" s="17" t="n">
        <v>46198</v>
      </c>
      <c r="E444" s="16">
        <f>IFERROR(IF(LEFT(F444,2)="RM","RMH","MONCAR"),"")</f>
        <v/>
      </c>
      <c r="F444" s="16" t="inlineStr">
        <is>
          <t>CF 061</t>
        </is>
      </c>
      <c r="G444" s="16" t="n">
        <v>3</v>
      </c>
      <c r="H444" s="16" t="inlineStr">
        <is>
          <t>MAQTOOLS</t>
        </is>
      </c>
      <c r="I444" s="19" t="n"/>
      <c r="J444" s="18">
        <f>IF(TRIM(F444)="","",IF(LEFT(TRIM(F444),2)="RM",IFERROR(IF(D444&gt;=DATE(2026,4,1),INDEX('LP RMH'!$F:$F,MATCH(TRIM(F444),'LP RMH'!$A:$A,0)),INDEX('LP RMH'!$E:$E,MATCH(TRIM(F444),'LP RMH'!$A:$A,0))),0),IFERROR(INDEX('LP MONCAR'!$E:$E,MATCH(TRIM(F444),'LP MONCAR'!$A:$A,0)),0)))</f>
        <v/>
      </c>
      <c r="K444" s="18">
        <f>IF(AND(ISNUMBER(G444),ISNUMBER(J444),G444&gt;0,J444&gt;0),G444*J444,"")</f>
        <v/>
      </c>
      <c r="L444" s="16">
        <f>IF(D444&lt;&gt;"",TEXT(D444,"YYYY-MM"),"")</f>
        <v/>
      </c>
      <c r="M444" s="16" t="n"/>
      <c r="N444" s="18">
        <f>IFERROR(IF(ISNUMBER(G444),G444*VLOOKUP(F444,Costos!$A$4:$E$320,5,0),0),0)</f>
        <v/>
      </c>
      <c r="O444" s="16">
        <f>IF(K444&lt;&gt;"",K444-N444,"")</f>
        <v/>
      </c>
      <c r="P444" s="16">
        <f>IFERROR(VLOOKUP(F444,'LP MONCAR'!$A$4:$C$500,3,0),"")</f>
        <v/>
      </c>
      <c r="Q444" s="16">
        <f>IFERROR(VLOOKUP(H444,Clientes!$A$2:$H$400,2,0),"")</f>
        <v/>
      </c>
      <c r="R444" s="16">
        <f>IFERROR(VLOOKUP(H444,Clientes!$A$2:$H$400,3,0),"")</f>
        <v/>
      </c>
      <c r="S444" s="16">
        <f>IFERROR(VLOOKUP(H444,Clientes!$A$2:$H$400,4,0),"")</f>
        <v/>
      </c>
      <c r="T444" s="16">
        <f>IFERROR(VLOOKUP(H444,Clientes!$A$2:$H$400,5,0),"")</f>
        <v/>
      </c>
      <c r="U444" s="16">
        <f>IFERROR(VLOOKUP(F444,'LP MONCAR'!$A$4:$D$500,4,0),"")</f>
        <v/>
      </c>
    </row>
    <row r="445">
      <c r="A445" s="37" t="n"/>
      <c r="B445" s="16" t="n">
        <v>4206</v>
      </c>
      <c r="C445" s="16" t="inlineStr">
        <is>
          <t>Maxi</t>
        </is>
      </c>
      <c r="D445" s="17" t="n">
        <v>46198</v>
      </c>
      <c r="E445" s="16">
        <f>IFERROR(IF(LEFT(F445,2)="RM","RMH","MONCAR"),"")</f>
        <v/>
      </c>
      <c r="F445" s="16" t="inlineStr">
        <is>
          <t>CE 006</t>
        </is>
      </c>
      <c r="G445" s="16" t="n">
        <v>1</v>
      </c>
      <c r="H445" s="16" t="inlineStr">
        <is>
          <t>MAQTOOLS</t>
        </is>
      </c>
      <c r="I445" s="19" t="n"/>
      <c r="J445" s="18">
        <f>IF(TRIM(F445)="","",IF(LEFT(TRIM(F445),2)="RM",IFERROR(IF(D445&gt;=DATE(2026,4,1),INDEX('LP RMH'!$F:$F,MATCH(TRIM(F445),'LP RMH'!$A:$A,0)),INDEX('LP RMH'!$E:$E,MATCH(TRIM(F445),'LP RMH'!$A:$A,0))),0),IFERROR(INDEX('LP MONCAR'!$E:$E,MATCH(TRIM(F445),'LP MONCAR'!$A:$A,0)),0)))</f>
        <v/>
      </c>
      <c r="K445" s="18">
        <f>IF(AND(ISNUMBER(G445),ISNUMBER(J445),G445&gt;0,J445&gt;0),G445*J445,"")</f>
        <v/>
      </c>
      <c r="L445" s="16">
        <f>IF(D445&lt;&gt;"",TEXT(D445,"YYYY-MM"),"")</f>
        <v/>
      </c>
      <c r="M445" s="16" t="n"/>
      <c r="N445" s="18">
        <f>IFERROR(IF(ISNUMBER(G445),G445*VLOOKUP(F445,Costos!$A$4:$E$320,5,0),0),0)</f>
        <v/>
      </c>
      <c r="O445" s="16">
        <f>IF(K445&lt;&gt;"",K445-N445,"")</f>
        <v/>
      </c>
      <c r="P445" s="16">
        <f>IFERROR(VLOOKUP(F445,'LP MONCAR'!$A$4:$C$500,3,0),"")</f>
        <v/>
      </c>
      <c r="Q445" s="16">
        <f>IFERROR(VLOOKUP(H445,Clientes!$A$2:$H$400,2,0),"")</f>
        <v/>
      </c>
      <c r="R445" s="16">
        <f>IFERROR(VLOOKUP(H445,Clientes!$A$2:$H$400,3,0),"")</f>
        <v/>
      </c>
      <c r="S445" s="16">
        <f>IFERROR(VLOOKUP(H445,Clientes!$A$2:$H$400,4,0),"")</f>
        <v/>
      </c>
      <c r="T445" s="16">
        <f>IFERROR(VLOOKUP(H445,Clientes!$A$2:$H$400,5,0),"")</f>
        <v/>
      </c>
      <c r="U445" s="16">
        <f>IFERROR(VLOOKUP(F445,'LP MONCAR'!$A$4:$D$500,4,0),"")</f>
        <v/>
      </c>
    </row>
    <row r="446">
      <c r="A446" s="37" t="n"/>
      <c r="B446" s="16" t="n">
        <v>4206</v>
      </c>
      <c r="C446" s="16" t="inlineStr">
        <is>
          <t>Maxi</t>
        </is>
      </c>
      <c r="D446" s="17" t="n">
        <v>46198</v>
      </c>
      <c r="E446" s="16">
        <f>IFERROR(IF(LEFT(F446,2)="RM","RMH","MONCAR"),"")</f>
        <v/>
      </c>
      <c r="F446" s="16" t="inlineStr">
        <is>
          <t>CE 044</t>
        </is>
      </c>
      <c r="G446" s="16" t="n">
        <v>2</v>
      </c>
      <c r="H446" s="16" t="inlineStr">
        <is>
          <t>MAQTOOLS</t>
        </is>
      </c>
      <c r="I446" s="19" t="n"/>
      <c r="J446" s="18">
        <f>IF(TRIM(F446)="","",IF(LEFT(TRIM(F446),2)="RM",IFERROR(IF(D446&gt;=DATE(2026,4,1),INDEX('LP RMH'!$F:$F,MATCH(TRIM(F446),'LP RMH'!$A:$A,0)),INDEX('LP RMH'!$E:$E,MATCH(TRIM(F446),'LP RMH'!$A:$A,0))),0),IFERROR(INDEX('LP MONCAR'!$E:$E,MATCH(TRIM(F446),'LP MONCAR'!$A:$A,0)),0)))</f>
        <v/>
      </c>
      <c r="K446" s="18">
        <f>IF(AND(ISNUMBER(G446),ISNUMBER(J446),G446&gt;0,J446&gt;0),G446*J446,"")</f>
        <v/>
      </c>
      <c r="L446" s="16">
        <f>IF(D446&lt;&gt;"",TEXT(D446,"YYYY-MM"),"")</f>
        <v/>
      </c>
      <c r="M446" s="16" t="n"/>
      <c r="N446" s="18">
        <f>IFERROR(IF(ISNUMBER(G446),G446*VLOOKUP(F446,Costos!$A$4:$E$320,5,0),0),0)</f>
        <v/>
      </c>
      <c r="O446" s="16">
        <f>IF(K446&lt;&gt;"",K446-N446,"")</f>
        <v/>
      </c>
      <c r="P446" s="16">
        <f>IFERROR(VLOOKUP(F446,'LP MONCAR'!$A$4:$C$500,3,0),"")</f>
        <v/>
      </c>
      <c r="Q446" s="16">
        <f>IFERROR(VLOOKUP(H446,Clientes!$A$2:$H$400,2,0),"")</f>
        <v/>
      </c>
      <c r="R446" s="16">
        <f>IFERROR(VLOOKUP(H446,Clientes!$A$2:$H$400,3,0),"")</f>
        <v/>
      </c>
      <c r="S446" s="16">
        <f>IFERROR(VLOOKUP(H446,Clientes!$A$2:$H$400,4,0),"")</f>
        <v/>
      </c>
      <c r="T446" s="16">
        <f>IFERROR(VLOOKUP(H446,Clientes!$A$2:$H$400,5,0),"")</f>
        <v/>
      </c>
      <c r="U446" s="16">
        <f>IFERROR(VLOOKUP(F446,'LP MONCAR'!$A$4:$D$500,4,0),"")</f>
        <v/>
      </c>
    </row>
    <row r="447">
      <c r="A447" s="37" t="n"/>
      <c r="B447" s="16" t="n">
        <v>4207</v>
      </c>
      <c r="C447" s="16" t="inlineStr">
        <is>
          <t>Maxi</t>
        </is>
      </c>
      <c r="D447" s="17" t="n">
        <v>46198</v>
      </c>
      <c r="E447" s="16">
        <f>IFERROR(IF(LEFT(F447,2)="RM","RMH","MONCAR"),"")</f>
        <v/>
      </c>
      <c r="F447" s="16" t="inlineStr">
        <is>
          <t>CF 674</t>
        </is>
      </c>
      <c r="G447" s="16" t="n">
        <v>2</v>
      </c>
      <c r="H447" s="16" t="inlineStr">
        <is>
          <t>FERRE DEVOTO</t>
        </is>
      </c>
      <c r="I447" s="19" t="n"/>
      <c r="J447" s="18">
        <f>IF(TRIM(F447)="","",IF(LEFT(TRIM(F447),2)="RM",IFERROR(IF(D447&gt;=DATE(2026,4,1),INDEX('LP RMH'!$F:$F,MATCH(TRIM(F447),'LP RMH'!$A:$A,0)),INDEX('LP RMH'!$E:$E,MATCH(TRIM(F447),'LP RMH'!$A:$A,0))),0),IFERROR(INDEX('LP MONCAR'!$E:$E,MATCH(TRIM(F447),'LP MONCAR'!$A:$A,0)),0)))</f>
        <v/>
      </c>
      <c r="K447" s="18">
        <f>IF(AND(ISNUMBER(G447),ISNUMBER(J447),G447&gt;0,J447&gt;0),G447*J447,"")</f>
        <v/>
      </c>
      <c r="L447" s="16">
        <f>IF(D447&lt;&gt;"",TEXT(D447,"YYYY-MM"),"")</f>
        <v/>
      </c>
      <c r="M447" s="16" t="n"/>
      <c r="N447" s="18">
        <f>IFERROR(IF(ISNUMBER(G447),G447*VLOOKUP(F447,Costos!$A$4:$E$320,5,0),0),0)</f>
        <v/>
      </c>
      <c r="O447" s="16">
        <f>IF(K447&lt;&gt;"",K447-N447,"")</f>
        <v/>
      </c>
      <c r="P447" s="16">
        <f>IFERROR(VLOOKUP(F447,'LP MONCAR'!$A$4:$C$500,3,0),"")</f>
        <v/>
      </c>
      <c r="Q447" s="16">
        <f>IFERROR(VLOOKUP(H447,Clientes!$A$2:$H$400,2,0),"")</f>
        <v/>
      </c>
      <c r="R447" s="16">
        <f>IFERROR(VLOOKUP(H447,Clientes!$A$2:$H$400,3,0),"")</f>
        <v/>
      </c>
      <c r="S447" s="16">
        <f>IFERROR(VLOOKUP(H447,Clientes!$A$2:$H$400,4,0),"")</f>
        <v/>
      </c>
      <c r="T447" s="16">
        <f>IFERROR(VLOOKUP(H447,Clientes!$A$2:$H$400,5,0),"")</f>
        <v/>
      </c>
      <c r="U447" s="16">
        <f>IFERROR(VLOOKUP(F447,'LP MONCAR'!$A$4:$D$500,4,0),"")</f>
        <v/>
      </c>
    </row>
    <row r="448">
      <c r="A448" s="37" t="n"/>
      <c r="B448" s="16" t="n">
        <v>4207</v>
      </c>
      <c r="C448" s="16" t="inlineStr">
        <is>
          <t>Maxi</t>
        </is>
      </c>
      <c r="D448" s="17" t="n">
        <v>46198</v>
      </c>
      <c r="E448" s="16">
        <f>IFERROR(IF(LEFT(F448,2)="RM","RMH","MONCAR"),"")</f>
        <v/>
      </c>
      <c r="F448" s="16" t="inlineStr">
        <is>
          <t>CF 970</t>
        </is>
      </c>
      <c r="G448" s="16" t="n">
        <v>5</v>
      </c>
      <c r="H448" s="16" t="inlineStr">
        <is>
          <t>FERRE DEVOTO</t>
        </is>
      </c>
      <c r="I448" s="19" t="n"/>
      <c r="J448" s="18">
        <f>IF(TRIM(F448)="","",IF(LEFT(TRIM(F448),2)="RM",IFERROR(IF(D448&gt;=DATE(2026,4,1),INDEX('LP RMH'!$F:$F,MATCH(TRIM(F448),'LP RMH'!$A:$A,0)),INDEX('LP RMH'!$E:$E,MATCH(TRIM(F448),'LP RMH'!$A:$A,0))),0),IFERROR(INDEX('LP MONCAR'!$E:$E,MATCH(TRIM(F448),'LP MONCAR'!$A:$A,0)),0)))</f>
        <v/>
      </c>
      <c r="K448" s="18">
        <f>IF(AND(ISNUMBER(G448),ISNUMBER(J448),G448&gt;0,J448&gt;0),G448*J448,"")</f>
        <v/>
      </c>
      <c r="L448" s="16">
        <f>IF(D448&lt;&gt;"",TEXT(D448,"YYYY-MM"),"")</f>
        <v/>
      </c>
      <c r="M448" s="16" t="n"/>
      <c r="N448" s="18">
        <f>IFERROR(IF(ISNUMBER(G448),G448*VLOOKUP(F448,Costos!$A$4:$E$320,5,0),0),0)</f>
        <v/>
      </c>
      <c r="O448" s="16">
        <f>IF(K448&lt;&gt;"",K448-N448,"")</f>
        <v/>
      </c>
      <c r="P448" s="16">
        <f>IFERROR(VLOOKUP(F448,'LP MONCAR'!$A$4:$C$500,3,0),"")</f>
        <v/>
      </c>
      <c r="Q448" s="16">
        <f>IFERROR(VLOOKUP(H448,Clientes!$A$2:$H$400,2,0),"")</f>
        <v/>
      </c>
      <c r="R448" s="16">
        <f>IFERROR(VLOOKUP(H448,Clientes!$A$2:$H$400,3,0),"")</f>
        <v/>
      </c>
      <c r="S448" s="16">
        <f>IFERROR(VLOOKUP(H448,Clientes!$A$2:$H$400,4,0),"")</f>
        <v/>
      </c>
      <c r="T448" s="16">
        <f>IFERROR(VLOOKUP(H448,Clientes!$A$2:$H$400,5,0),"")</f>
        <v/>
      </c>
      <c r="U448" s="16">
        <f>IFERROR(VLOOKUP(F448,'LP MONCAR'!$A$4:$D$500,4,0),"")</f>
        <v/>
      </c>
    </row>
    <row r="449">
      <c r="A449" s="37" t="n"/>
      <c r="B449" s="16" t="n">
        <v>4207</v>
      </c>
      <c r="C449" s="16" t="inlineStr">
        <is>
          <t>Maxi</t>
        </is>
      </c>
      <c r="D449" s="17" t="n">
        <v>46198</v>
      </c>
      <c r="E449" s="16">
        <f>IFERROR(IF(LEFT(F449,2)="RM","RMH","MONCAR"),"")</f>
        <v/>
      </c>
      <c r="F449" s="16" t="inlineStr">
        <is>
          <t>CC 101</t>
        </is>
      </c>
      <c r="G449" s="16" t="n">
        <v>3</v>
      </c>
      <c r="H449" s="16" t="inlineStr">
        <is>
          <t>FERRE DEVOTO</t>
        </is>
      </c>
      <c r="I449" s="19" t="n"/>
      <c r="J449" s="18">
        <f>IF(TRIM(F449)="","",IF(LEFT(TRIM(F449),2)="RM",IFERROR(IF(D449&gt;=DATE(2026,4,1),INDEX('LP RMH'!$F:$F,MATCH(TRIM(F449),'LP RMH'!$A:$A,0)),INDEX('LP RMH'!$E:$E,MATCH(TRIM(F449),'LP RMH'!$A:$A,0))),0),IFERROR(INDEX('LP MONCAR'!$E:$E,MATCH(TRIM(F449),'LP MONCAR'!$A:$A,0)),0)))</f>
        <v/>
      </c>
      <c r="K449" s="18">
        <f>IF(AND(ISNUMBER(G449),ISNUMBER(J449),G449&gt;0,J449&gt;0),G449*J449,"")</f>
        <v/>
      </c>
      <c r="L449" s="16">
        <f>IF(D449&lt;&gt;"",TEXT(D449,"YYYY-MM"),"")</f>
        <v/>
      </c>
      <c r="M449" s="16" t="n"/>
      <c r="N449" s="18">
        <f>IFERROR(IF(ISNUMBER(G449),G449*VLOOKUP(F449,Costos!$A$4:$E$320,5,0),0),0)</f>
        <v/>
      </c>
      <c r="O449" s="16">
        <f>IF(K449&lt;&gt;"",K449-N449,"")</f>
        <v/>
      </c>
      <c r="P449" s="16">
        <f>IFERROR(VLOOKUP(F449,'LP MONCAR'!$A$4:$C$500,3,0),"")</f>
        <v/>
      </c>
      <c r="Q449" s="16">
        <f>IFERROR(VLOOKUP(H449,Clientes!$A$2:$H$400,2,0),"")</f>
        <v/>
      </c>
      <c r="R449" s="16">
        <f>IFERROR(VLOOKUP(H449,Clientes!$A$2:$H$400,3,0),"")</f>
        <v/>
      </c>
      <c r="S449" s="16">
        <f>IFERROR(VLOOKUP(H449,Clientes!$A$2:$H$400,4,0),"")</f>
        <v/>
      </c>
      <c r="T449" s="16">
        <f>IFERROR(VLOOKUP(H449,Clientes!$A$2:$H$400,5,0),"")</f>
        <v/>
      </c>
      <c r="U449" s="16">
        <f>IFERROR(VLOOKUP(F449,'LP MONCAR'!$A$4:$D$500,4,0),"")</f>
        <v/>
      </c>
    </row>
    <row r="450">
      <c r="A450" s="37" t="n"/>
      <c r="B450" s="16" t="n">
        <v>4207</v>
      </c>
      <c r="C450" s="16" t="inlineStr">
        <is>
          <t>Maxi</t>
        </is>
      </c>
      <c r="D450" s="17" t="n">
        <v>46198</v>
      </c>
      <c r="E450" s="16">
        <f>IFERROR(IF(LEFT(F450,2)="RM","RMH","MONCAR"),"")</f>
        <v/>
      </c>
      <c r="F450" s="16" t="inlineStr">
        <is>
          <t>CC 102</t>
        </is>
      </c>
      <c r="G450" s="16" t="n">
        <v>3</v>
      </c>
      <c r="H450" s="16" t="inlineStr">
        <is>
          <t>FERRE DEVOTO</t>
        </is>
      </c>
      <c r="I450" s="19" t="n"/>
      <c r="J450" s="18">
        <f>IF(TRIM(F450)="","",IF(LEFT(TRIM(F450),2)="RM",IFERROR(IF(D450&gt;=DATE(2026,4,1),INDEX('LP RMH'!$F:$F,MATCH(TRIM(F450),'LP RMH'!$A:$A,0)),INDEX('LP RMH'!$E:$E,MATCH(TRIM(F450),'LP RMH'!$A:$A,0))),0),IFERROR(INDEX('LP MONCAR'!$E:$E,MATCH(TRIM(F450),'LP MONCAR'!$A:$A,0)),0)))</f>
        <v/>
      </c>
      <c r="K450" s="18">
        <f>IF(AND(ISNUMBER(G450),ISNUMBER(J450),G450&gt;0,J450&gt;0),G450*J450,"")</f>
        <v/>
      </c>
      <c r="L450" s="16">
        <f>IF(D450&lt;&gt;"",TEXT(D450,"YYYY-MM"),"")</f>
        <v/>
      </c>
      <c r="M450" s="16" t="n"/>
      <c r="N450" s="18">
        <f>IFERROR(IF(ISNUMBER(G450),G450*VLOOKUP(F450,Costos!$A$4:$E$320,5,0),0),0)</f>
        <v/>
      </c>
      <c r="O450" s="16">
        <f>IF(K450&lt;&gt;"",K450-N450,"")</f>
        <v/>
      </c>
      <c r="P450" s="16">
        <f>IFERROR(VLOOKUP(F450,'LP MONCAR'!$A$4:$C$500,3,0),"")</f>
        <v/>
      </c>
      <c r="Q450" s="16">
        <f>IFERROR(VLOOKUP(H450,Clientes!$A$2:$H$400,2,0),"")</f>
        <v/>
      </c>
      <c r="R450" s="16">
        <f>IFERROR(VLOOKUP(H450,Clientes!$A$2:$H$400,3,0),"")</f>
        <v/>
      </c>
      <c r="S450" s="16">
        <f>IFERROR(VLOOKUP(H450,Clientes!$A$2:$H$400,4,0),"")</f>
        <v/>
      </c>
      <c r="T450" s="16">
        <f>IFERROR(VLOOKUP(H450,Clientes!$A$2:$H$400,5,0),"")</f>
        <v/>
      </c>
      <c r="U450" s="16">
        <f>IFERROR(VLOOKUP(F450,'LP MONCAR'!$A$4:$D$500,4,0),"")</f>
        <v/>
      </c>
    </row>
    <row r="451">
      <c r="A451" s="37" t="n"/>
      <c r="B451" s="16" t="n">
        <v>4205</v>
      </c>
      <c r="C451" s="16" t="inlineStr">
        <is>
          <t>Maxi</t>
        </is>
      </c>
      <c r="D451" s="17" t="n">
        <v>46198</v>
      </c>
      <c r="E451" s="16">
        <f>IFERROR(IF(LEFT(F451,2)="RM","RMH","MONCAR"),"")</f>
        <v/>
      </c>
      <c r="F451" s="16" t="inlineStr">
        <is>
          <t>CF 664</t>
        </is>
      </c>
      <c r="G451" s="16" t="n">
        <v>5</v>
      </c>
      <c r="H451" s="16" t="inlineStr">
        <is>
          <t>IONLUX</t>
        </is>
      </c>
      <c r="I451" s="19" t="n"/>
      <c r="J451" s="18">
        <f>IF(TRIM(F451)="","",IF(LEFT(TRIM(F451),2)="RM",IFERROR(IF(D451&gt;=DATE(2026,4,1),INDEX('LP RMH'!$F:$F,MATCH(TRIM(F451),'LP RMH'!$A:$A,0)),INDEX('LP RMH'!$E:$E,MATCH(TRIM(F451),'LP RMH'!$A:$A,0))),0),IFERROR(INDEX('LP MONCAR'!$E:$E,MATCH(TRIM(F451),'LP MONCAR'!$A:$A,0)),0)))</f>
        <v/>
      </c>
      <c r="K451" s="18">
        <f>IF(AND(ISNUMBER(G451),ISNUMBER(J451),G451&gt;0,J451&gt;0),G451*J451,"")</f>
        <v/>
      </c>
      <c r="L451" s="16">
        <f>IF(D451&lt;&gt;"",TEXT(D451,"YYYY-MM"),"")</f>
        <v/>
      </c>
      <c r="M451" s="16" t="n"/>
      <c r="N451" s="18">
        <f>IFERROR(IF(ISNUMBER(G451),G451*VLOOKUP(F451,Costos!$A$4:$E$320,5,0),0),0)</f>
        <v/>
      </c>
      <c r="O451" s="16">
        <f>IF(K451&lt;&gt;"",K451-N451,"")</f>
        <v/>
      </c>
      <c r="P451" s="16">
        <f>IFERROR(VLOOKUP(F451,'LP MONCAR'!$A$4:$C$500,3,0),"")</f>
        <v/>
      </c>
      <c r="Q451" s="16">
        <f>IFERROR(VLOOKUP(H451,Clientes!$A$2:$H$400,2,0),"")</f>
        <v/>
      </c>
      <c r="R451" s="16">
        <f>IFERROR(VLOOKUP(H451,Clientes!$A$2:$H$400,3,0),"")</f>
        <v/>
      </c>
      <c r="S451" s="16">
        <f>IFERROR(VLOOKUP(H451,Clientes!$A$2:$H$400,4,0),"")</f>
        <v/>
      </c>
      <c r="T451" s="16">
        <f>IFERROR(VLOOKUP(H451,Clientes!$A$2:$H$400,5,0),"")</f>
        <v/>
      </c>
      <c r="U451" s="16">
        <f>IFERROR(VLOOKUP(F451,'LP MONCAR'!$A$4:$D$500,4,0),"")</f>
        <v/>
      </c>
    </row>
    <row r="452">
      <c r="A452" s="37" t="n"/>
      <c r="B452" s="16" t="n">
        <v>4205</v>
      </c>
      <c r="C452" s="16" t="inlineStr">
        <is>
          <t>Maxi</t>
        </is>
      </c>
      <c r="D452" s="17" t="n">
        <v>46198</v>
      </c>
      <c r="E452" s="16">
        <f>IFERROR(IF(LEFT(F452,2)="RM","RMH","MONCAR"),"")</f>
        <v/>
      </c>
      <c r="F452" s="16" t="inlineStr">
        <is>
          <t>CF 674</t>
        </is>
      </c>
      <c r="G452" s="16" t="n">
        <v>15</v>
      </c>
      <c r="H452" s="16" t="inlineStr">
        <is>
          <t>IONLUX</t>
        </is>
      </c>
      <c r="I452" s="19" t="n"/>
      <c r="J452" s="18">
        <f>IF(TRIM(F452)="","",IF(LEFT(TRIM(F452),2)="RM",IFERROR(IF(D452&gt;=DATE(2026,4,1),INDEX('LP RMH'!$F:$F,MATCH(TRIM(F452),'LP RMH'!$A:$A,0)),INDEX('LP RMH'!$E:$E,MATCH(TRIM(F452),'LP RMH'!$A:$A,0))),0),IFERROR(INDEX('LP MONCAR'!$E:$E,MATCH(TRIM(F452),'LP MONCAR'!$A:$A,0)),0)))</f>
        <v/>
      </c>
      <c r="K452" s="18">
        <f>IF(AND(ISNUMBER(G452),ISNUMBER(J452),G452&gt;0,J452&gt;0),G452*J452,"")</f>
        <v/>
      </c>
      <c r="L452" s="16">
        <f>IF(D452&lt;&gt;"",TEXT(D452,"YYYY-MM"),"")</f>
        <v/>
      </c>
      <c r="M452" s="16" t="n"/>
      <c r="N452" s="18">
        <f>IFERROR(IF(ISNUMBER(G452),G452*VLOOKUP(F452,Costos!$A$4:$E$320,5,0),0),0)</f>
        <v/>
      </c>
      <c r="O452" s="16">
        <f>IF(K452&lt;&gt;"",K452-N452,"")</f>
        <v/>
      </c>
      <c r="P452" s="16">
        <f>IFERROR(VLOOKUP(F452,'LP MONCAR'!$A$4:$C$500,3,0),"")</f>
        <v/>
      </c>
      <c r="Q452" s="16">
        <f>IFERROR(VLOOKUP(H452,Clientes!$A$2:$H$400,2,0),"")</f>
        <v/>
      </c>
      <c r="R452" s="16">
        <f>IFERROR(VLOOKUP(H452,Clientes!$A$2:$H$400,3,0),"")</f>
        <v/>
      </c>
      <c r="S452" s="16">
        <f>IFERROR(VLOOKUP(H452,Clientes!$A$2:$H$400,4,0),"")</f>
        <v/>
      </c>
      <c r="T452" s="16">
        <f>IFERROR(VLOOKUP(H452,Clientes!$A$2:$H$400,5,0),"")</f>
        <v/>
      </c>
      <c r="U452" s="16">
        <f>IFERROR(VLOOKUP(F452,'LP MONCAR'!$A$4:$D$500,4,0),"")</f>
        <v/>
      </c>
    </row>
    <row r="453">
      <c r="A453" s="37" t="n"/>
      <c r="B453" s="16" t="n">
        <v>4205</v>
      </c>
      <c r="C453" s="16" t="inlineStr">
        <is>
          <t>Maxi</t>
        </is>
      </c>
      <c r="D453" s="17" t="n">
        <v>46198</v>
      </c>
      <c r="E453" s="16">
        <f>IFERROR(IF(LEFT(F453,2)="RM","RMH","MONCAR"),"")</f>
        <v/>
      </c>
      <c r="F453" s="16" t="inlineStr">
        <is>
          <t>CF 184</t>
        </is>
      </c>
      <c r="G453" s="16" t="n">
        <v>5</v>
      </c>
      <c r="H453" s="16" t="inlineStr">
        <is>
          <t>IONLUX</t>
        </is>
      </c>
      <c r="I453" s="19" t="n"/>
      <c r="J453" s="18">
        <f>IF(TRIM(F453)="","",IF(LEFT(TRIM(F453),2)="RM",IFERROR(IF(D453&gt;=DATE(2026,4,1),INDEX('LP RMH'!$F:$F,MATCH(TRIM(F453),'LP RMH'!$A:$A,0)),INDEX('LP RMH'!$E:$E,MATCH(TRIM(F453),'LP RMH'!$A:$A,0))),0),IFERROR(INDEX('LP MONCAR'!$E:$E,MATCH(TRIM(F453),'LP MONCAR'!$A:$A,0)),0)))</f>
        <v/>
      </c>
      <c r="K453" s="18">
        <f>IF(AND(ISNUMBER(G453),ISNUMBER(J453),G453&gt;0,J453&gt;0),G453*J453,"")</f>
        <v/>
      </c>
      <c r="L453" s="16">
        <f>IF(D453&lt;&gt;"",TEXT(D453,"YYYY-MM"),"")</f>
        <v/>
      </c>
      <c r="M453" s="16" t="n"/>
      <c r="N453" s="18">
        <f>IFERROR(IF(ISNUMBER(G453),G453*VLOOKUP(F453,Costos!$A$4:$E$320,5,0),0),0)</f>
        <v/>
      </c>
      <c r="O453" s="16">
        <f>IF(K453&lt;&gt;"",K453-N453,"")</f>
        <v/>
      </c>
      <c r="P453" s="16">
        <f>IFERROR(VLOOKUP(F453,'LP MONCAR'!$A$4:$C$500,3,0),"")</f>
        <v/>
      </c>
      <c r="Q453" s="16">
        <f>IFERROR(VLOOKUP(H453,Clientes!$A$2:$H$400,2,0),"")</f>
        <v/>
      </c>
      <c r="R453" s="16">
        <f>IFERROR(VLOOKUP(H453,Clientes!$A$2:$H$400,3,0),"")</f>
        <v/>
      </c>
      <c r="S453" s="16">
        <f>IFERROR(VLOOKUP(H453,Clientes!$A$2:$H$400,4,0),"")</f>
        <v/>
      </c>
      <c r="T453" s="16">
        <f>IFERROR(VLOOKUP(H453,Clientes!$A$2:$H$400,5,0),"")</f>
        <v/>
      </c>
      <c r="U453" s="16">
        <f>IFERROR(VLOOKUP(F453,'LP MONCAR'!$A$4:$D$500,4,0),"")</f>
        <v/>
      </c>
    </row>
    <row r="454">
      <c r="A454" s="37" t="n"/>
      <c r="B454" s="16" t="n">
        <v>4205</v>
      </c>
      <c r="C454" s="16" t="inlineStr">
        <is>
          <t>Maxi</t>
        </is>
      </c>
      <c r="D454" s="17" t="n">
        <v>46198</v>
      </c>
      <c r="E454" s="16">
        <f>IFERROR(IF(LEFT(F454,2)="RM","RMH","MONCAR"),"")</f>
        <v/>
      </c>
      <c r="F454" s="16" t="inlineStr">
        <is>
          <t>CF 712</t>
        </is>
      </c>
      <c r="G454" s="16" t="n">
        <v>10</v>
      </c>
      <c r="H454" s="16" t="inlineStr">
        <is>
          <t>IONLUX</t>
        </is>
      </c>
      <c r="I454" s="19" t="n"/>
      <c r="J454" s="18">
        <f>IF(TRIM(F454)="","",IF(LEFT(TRIM(F454),2)="RM",IFERROR(IF(D454&gt;=DATE(2026,4,1),INDEX('LP RMH'!$F:$F,MATCH(TRIM(F454),'LP RMH'!$A:$A,0)),INDEX('LP RMH'!$E:$E,MATCH(TRIM(F454),'LP RMH'!$A:$A,0))),0),IFERROR(INDEX('LP MONCAR'!$E:$E,MATCH(TRIM(F454),'LP MONCAR'!$A:$A,0)),0)))</f>
        <v/>
      </c>
      <c r="K454" s="18">
        <f>IF(AND(ISNUMBER(G454),ISNUMBER(J454),G454&gt;0,J454&gt;0),G454*J454,"")</f>
        <v/>
      </c>
      <c r="L454" s="16">
        <f>IF(D454&lt;&gt;"",TEXT(D454,"YYYY-MM"),"")</f>
        <v/>
      </c>
      <c r="M454" s="16" t="n"/>
      <c r="N454" s="18">
        <f>IFERROR(IF(ISNUMBER(G454),G454*VLOOKUP(F454,Costos!$A$4:$E$320,5,0),0),0)</f>
        <v/>
      </c>
      <c r="O454" s="16">
        <f>IF(K454&lt;&gt;"",K454-N454,"")</f>
        <v/>
      </c>
      <c r="P454" s="16">
        <f>IFERROR(VLOOKUP(F454,'LP MONCAR'!$A$4:$C$500,3,0),"")</f>
        <v/>
      </c>
      <c r="Q454" s="16">
        <f>IFERROR(VLOOKUP(H454,Clientes!$A$2:$H$400,2,0),"")</f>
        <v/>
      </c>
      <c r="R454" s="16">
        <f>IFERROR(VLOOKUP(H454,Clientes!$A$2:$H$400,3,0),"")</f>
        <v/>
      </c>
      <c r="S454" s="16">
        <f>IFERROR(VLOOKUP(H454,Clientes!$A$2:$H$400,4,0),"")</f>
        <v/>
      </c>
      <c r="T454" s="16">
        <f>IFERROR(VLOOKUP(H454,Clientes!$A$2:$H$400,5,0),"")</f>
        <v/>
      </c>
      <c r="U454" s="16">
        <f>IFERROR(VLOOKUP(F454,'LP MONCAR'!$A$4:$D$500,4,0),"")</f>
        <v/>
      </c>
    </row>
    <row r="455">
      <c r="A455" s="37" t="n"/>
      <c r="B455" s="16" t="n">
        <v>4205</v>
      </c>
      <c r="C455" s="16" t="inlineStr">
        <is>
          <t>Maxi</t>
        </is>
      </c>
      <c r="D455" s="17" t="n">
        <v>46198</v>
      </c>
      <c r="E455" s="16">
        <f>IFERROR(IF(LEFT(F455,2)="RM","RMH","MONCAR"),"")</f>
        <v/>
      </c>
      <c r="F455" s="16" t="inlineStr">
        <is>
          <t>CF 056</t>
        </is>
      </c>
      <c r="G455" s="16" t="n">
        <v>5</v>
      </c>
      <c r="H455" s="16" t="inlineStr">
        <is>
          <t>IONLUX</t>
        </is>
      </c>
      <c r="I455" s="19" t="n"/>
      <c r="J455" s="18">
        <f>IF(TRIM(F455)="","",IF(LEFT(TRIM(F455),2)="RM",IFERROR(IF(D455&gt;=DATE(2026,4,1),INDEX('LP RMH'!$F:$F,MATCH(TRIM(F455),'LP RMH'!$A:$A,0)),INDEX('LP RMH'!$E:$E,MATCH(TRIM(F455),'LP RMH'!$A:$A,0))),0),IFERROR(INDEX('LP MONCAR'!$E:$E,MATCH(TRIM(F455),'LP MONCAR'!$A:$A,0)),0)))</f>
        <v/>
      </c>
      <c r="K455" s="18">
        <f>IF(AND(ISNUMBER(G455),ISNUMBER(J455),G455&gt;0,J455&gt;0),G455*J455,"")</f>
        <v/>
      </c>
      <c r="L455" s="16">
        <f>IF(D455&lt;&gt;"",TEXT(D455,"YYYY-MM"),"")</f>
        <v/>
      </c>
      <c r="M455" s="16" t="n"/>
      <c r="N455" s="18">
        <f>IFERROR(IF(ISNUMBER(G455),G455*VLOOKUP(F455,Costos!$A$4:$E$320,5,0),0),0)</f>
        <v/>
      </c>
      <c r="O455" s="16">
        <f>IF(K455&lt;&gt;"",K455-N455,"")</f>
        <v/>
      </c>
      <c r="P455" s="16">
        <f>IFERROR(VLOOKUP(F455,'LP MONCAR'!$A$4:$C$500,3,0),"")</f>
        <v/>
      </c>
      <c r="Q455" s="16">
        <f>IFERROR(VLOOKUP(H455,Clientes!$A$2:$H$400,2,0),"")</f>
        <v/>
      </c>
      <c r="R455" s="16">
        <f>IFERROR(VLOOKUP(H455,Clientes!$A$2:$H$400,3,0),"")</f>
        <v/>
      </c>
      <c r="S455" s="16">
        <f>IFERROR(VLOOKUP(H455,Clientes!$A$2:$H$400,4,0),"")</f>
        <v/>
      </c>
      <c r="T455" s="16">
        <f>IFERROR(VLOOKUP(H455,Clientes!$A$2:$H$400,5,0),"")</f>
        <v/>
      </c>
      <c r="U455" s="16">
        <f>IFERROR(VLOOKUP(F455,'LP MONCAR'!$A$4:$D$500,4,0),"")</f>
        <v/>
      </c>
    </row>
    <row r="456">
      <c r="A456" s="37" t="n"/>
      <c r="B456" s="16" t="n">
        <v>4205</v>
      </c>
      <c r="C456" s="16" t="inlineStr">
        <is>
          <t>Maxi</t>
        </is>
      </c>
      <c r="D456" s="17" t="n">
        <v>46198</v>
      </c>
      <c r="E456" s="16">
        <f>IFERROR(IF(LEFT(F456,2)="RM","RMH","MONCAR"),"")</f>
        <v/>
      </c>
      <c r="F456" s="16" t="inlineStr">
        <is>
          <t>CF 556</t>
        </is>
      </c>
      <c r="G456" s="16" t="n">
        <v>5</v>
      </c>
      <c r="H456" s="16" t="inlineStr">
        <is>
          <t>IONLUX</t>
        </is>
      </c>
      <c r="I456" s="19" t="n"/>
      <c r="J456" s="18">
        <f>IF(TRIM(F456)="","",IF(LEFT(TRIM(F456),2)="RM",IFERROR(IF(D456&gt;=DATE(2026,4,1),INDEX('LP RMH'!$F:$F,MATCH(TRIM(F456),'LP RMH'!$A:$A,0)),INDEX('LP RMH'!$E:$E,MATCH(TRIM(F456),'LP RMH'!$A:$A,0))),0),IFERROR(INDEX('LP MONCAR'!$E:$E,MATCH(TRIM(F456),'LP MONCAR'!$A:$A,0)),0)))</f>
        <v/>
      </c>
      <c r="K456" s="18">
        <f>IF(AND(ISNUMBER(G456),ISNUMBER(J456),G456&gt;0,J456&gt;0),G456*J456,"")</f>
        <v/>
      </c>
      <c r="L456" s="16">
        <f>IF(D456&lt;&gt;"",TEXT(D456,"YYYY-MM"),"")</f>
        <v/>
      </c>
      <c r="M456" s="16" t="n"/>
      <c r="N456" s="18">
        <f>IFERROR(IF(ISNUMBER(G456),G456*VLOOKUP(F456,Costos!$A$4:$E$320,5,0),0),0)</f>
        <v/>
      </c>
      <c r="O456" s="16">
        <f>IF(K456&lt;&gt;"",K456-N456,"")</f>
        <v/>
      </c>
      <c r="P456" s="16">
        <f>IFERROR(VLOOKUP(F456,'LP MONCAR'!$A$4:$C$500,3,0),"")</f>
        <v/>
      </c>
      <c r="Q456" s="16">
        <f>IFERROR(VLOOKUP(H456,Clientes!$A$2:$H$400,2,0),"")</f>
        <v/>
      </c>
      <c r="R456" s="16">
        <f>IFERROR(VLOOKUP(H456,Clientes!$A$2:$H$400,3,0),"")</f>
        <v/>
      </c>
      <c r="S456" s="16">
        <f>IFERROR(VLOOKUP(H456,Clientes!$A$2:$H$400,4,0),"")</f>
        <v/>
      </c>
      <c r="T456" s="16">
        <f>IFERROR(VLOOKUP(H456,Clientes!$A$2:$H$400,5,0),"")</f>
        <v/>
      </c>
      <c r="U456" s="16">
        <f>IFERROR(VLOOKUP(F456,'LP MONCAR'!$A$4:$D$500,4,0),"")</f>
        <v/>
      </c>
    </row>
    <row r="457">
      <c r="A457" s="37" t="n"/>
      <c r="B457" s="16" t="n">
        <v>4205</v>
      </c>
      <c r="C457" s="16" t="inlineStr">
        <is>
          <t>Maxi</t>
        </is>
      </c>
      <c r="D457" s="17" t="n">
        <v>46198</v>
      </c>
      <c r="E457" s="16">
        <f>IFERROR(IF(LEFT(F457,2)="RM","RMH","MONCAR"),"")</f>
        <v/>
      </c>
      <c r="F457" s="16" t="inlineStr">
        <is>
          <t>CF 971</t>
        </is>
      </c>
      <c r="G457" s="16" t="n">
        <v>5</v>
      </c>
      <c r="H457" s="16" t="inlineStr">
        <is>
          <t>IONLUX</t>
        </is>
      </c>
      <c r="I457" s="19" t="n"/>
      <c r="J457" s="18">
        <f>IF(TRIM(F457)="","",IF(LEFT(TRIM(F457),2)="RM",IFERROR(IF(D457&gt;=DATE(2026,4,1),INDEX('LP RMH'!$F:$F,MATCH(TRIM(F457),'LP RMH'!$A:$A,0)),INDEX('LP RMH'!$E:$E,MATCH(TRIM(F457),'LP RMH'!$A:$A,0))),0),IFERROR(INDEX('LP MONCAR'!$E:$E,MATCH(TRIM(F457),'LP MONCAR'!$A:$A,0)),0)))</f>
        <v/>
      </c>
      <c r="K457" s="18">
        <f>IF(AND(ISNUMBER(G457),ISNUMBER(J457),G457&gt;0,J457&gt;0),G457*J457,"")</f>
        <v/>
      </c>
      <c r="L457" s="16">
        <f>IF(D457&lt;&gt;"",TEXT(D457,"YYYY-MM"),"")</f>
        <v/>
      </c>
      <c r="M457" s="16" t="n"/>
      <c r="N457" s="18">
        <f>IFERROR(IF(ISNUMBER(G457),G457*VLOOKUP(F457,Costos!$A$4:$E$320,5,0),0),0)</f>
        <v/>
      </c>
      <c r="O457" s="16">
        <f>IF(K457&lt;&gt;"",K457-N457,"")</f>
        <v/>
      </c>
      <c r="P457" s="16">
        <f>IFERROR(VLOOKUP(F457,'LP MONCAR'!$A$4:$C$500,3,0),"")</f>
        <v/>
      </c>
      <c r="Q457" s="16">
        <f>IFERROR(VLOOKUP(H457,Clientes!$A$2:$H$400,2,0),"")</f>
        <v/>
      </c>
      <c r="R457" s="16">
        <f>IFERROR(VLOOKUP(H457,Clientes!$A$2:$H$400,3,0),"")</f>
        <v/>
      </c>
      <c r="S457" s="16">
        <f>IFERROR(VLOOKUP(H457,Clientes!$A$2:$H$400,4,0),"")</f>
        <v/>
      </c>
      <c r="T457" s="16">
        <f>IFERROR(VLOOKUP(H457,Clientes!$A$2:$H$400,5,0),"")</f>
        <v/>
      </c>
      <c r="U457" s="16">
        <f>IFERROR(VLOOKUP(F457,'LP MONCAR'!$A$4:$D$500,4,0),"")</f>
        <v/>
      </c>
    </row>
    <row r="458">
      <c r="A458" s="37" t="n"/>
      <c r="B458" s="16" t="n">
        <v>1803</v>
      </c>
      <c r="C458" s="16" t="inlineStr">
        <is>
          <t>Maxi</t>
        </is>
      </c>
      <c r="D458" s="17" t="n">
        <v>46190</v>
      </c>
      <c r="E458" s="16">
        <f>IFERROR(IF(LEFT(F458,2)="RM","RMH","MONCAR"),"")</f>
        <v/>
      </c>
      <c r="F458" s="16" t="inlineStr">
        <is>
          <t>RM 023</t>
        </is>
      </c>
      <c r="G458" s="16" t="n">
        <v>5</v>
      </c>
      <c r="H458" s="16" t="inlineStr">
        <is>
          <t>PACIFICO 2</t>
        </is>
      </c>
      <c r="I458" s="19" t="n"/>
      <c r="J458" s="18">
        <f>IF(TRIM(F458)="","",IF(LEFT(TRIM(F458),2)="RM",IFERROR(IF(D458&gt;=DATE(2026,4,1),INDEX('LP RMH'!$F:$F,MATCH(TRIM(F458),'LP RMH'!$A:$A,0)),INDEX('LP RMH'!$E:$E,MATCH(TRIM(F458),'LP RMH'!$A:$A,0))),0),IFERROR(INDEX('LP MONCAR'!$E:$E,MATCH(TRIM(F458),'LP MONCAR'!$A:$A,0)),0)))</f>
        <v/>
      </c>
      <c r="K458" s="18">
        <f>IF(AND(ISNUMBER(G458),ISNUMBER(J458),G458&gt;0,J458&gt;0),G458*J458,"")</f>
        <v/>
      </c>
      <c r="L458" s="16">
        <f>IF(D458&lt;&gt;"",TEXT(D458,"YYYY-MM"),"")</f>
        <v/>
      </c>
      <c r="M458" s="16" t="n"/>
      <c r="N458" s="18">
        <f>IFERROR(IF(ISNUMBER(G458),G458*VLOOKUP(F458,Costos!$A$4:$E$320,5,0),0),0)</f>
        <v/>
      </c>
      <c r="O458" s="16">
        <f>IF(K458&lt;&gt;"",K458-N458,"")</f>
        <v/>
      </c>
      <c r="P458" s="16">
        <f>IFERROR(VLOOKUP(F458,'LP MONCAR'!$A$4:$C$500,3,0),"")</f>
        <v/>
      </c>
      <c r="Q458" s="16">
        <f>IFERROR(VLOOKUP(H458,Clientes!$A$2:$H$400,2,0),"")</f>
        <v/>
      </c>
      <c r="R458" s="16">
        <f>IFERROR(VLOOKUP(H458,Clientes!$A$2:$H$400,3,0),"")</f>
        <v/>
      </c>
      <c r="S458" s="16">
        <f>IFERROR(VLOOKUP(H458,Clientes!$A$2:$H$400,4,0),"")</f>
        <v/>
      </c>
      <c r="T458" s="16">
        <f>IFERROR(VLOOKUP(H458,Clientes!$A$2:$H$400,5,0),"")</f>
        <v/>
      </c>
      <c r="U458" s="16">
        <f>IFERROR(VLOOKUP(F458,'LP MONCAR'!$A$4:$D$500,4,0),"")</f>
        <v/>
      </c>
    </row>
    <row r="459">
      <c r="A459" s="37" t="n"/>
      <c r="B459" s="16" t="n">
        <v>1803</v>
      </c>
      <c r="C459" s="16" t="inlineStr">
        <is>
          <t>Maxi</t>
        </is>
      </c>
      <c r="D459" s="17" t="n">
        <v>46190</v>
      </c>
      <c r="E459" s="16">
        <f>IFERROR(IF(LEFT(F459,2)="RM","RMH","MONCAR"),"")</f>
        <v/>
      </c>
      <c r="F459" s="16" t="inlineStr">
        <is>
          <t>RM 035</t>
        </is>
      </c>
      <c r="G459" s="16" t="n">
        <v>5</v>
      </c>
      <c r="H459" s="16" t="inlineStr">
        <is>
          <t>PACIFICO 2</t>
        </is>
      </c>
      <c r="I459" s="19" t="n"/>
      <c r="J459" s="18">
        <f>IF(TRIM(F459)="","",IF(LEFT(TRIM(F459),2)="RM",IFERROR(IF(D459&gt;=DATE(2026,4,1),INDEX('LP RMH'!$F:$F,MATCH(TRIM(F459),'LP RMH'!$A:$A,0)),INDEX('LP RMH'!$E:$E,MATCH(TRIM(F459),'LP RMH'!$A:$A,0))),0),IFERROR(INDEX('LP MONCAR'!$E:$E,MATCH(TRIM(F459),'LP MONCAR'!$A:$A,0)),0)))</f>
        <v/>
      </c>
      <c r="K459" s="18">
        <f>IF(AND(ISNUMBER(G459),ISNUMBER(J459),G459&gt;0,J459&gt;0),G459*J459,"")</f>
        <v/>
      </c>
      <c r="L459" s="16">
        <f>IF(D459&lt;&gt;"",TEXT(D459,"YYYY-MM"),"")</f>
        <v/>
      </c>
      <c r="M459" s="16" t="n"/>
      <c r="N459" s="18">
        <f>IFERROR(IF(ISNUMBER(G459),G459*VLOOKUP(F459,Costos!$A$4:$E$320,5,0),0),0)</f>
        <v/>
      </c>
      <c r="O459" s="16">
        <f>IF(K459&lt;&gt;"",K459-N459,"")</f>
        <v/>
      </c>
      <c r="P459" s="16">
        <f>IFERROR(VLOOKUP(F459,'LP MONCAR'!$A$4:$C$500,3,0),"")</f>
        <v/>
      </c>
      <c r="Q459" s="16">
        <f>IFERROR(VLOOKUP(H459,Clientes!$A$2:$H$400,2,0),"")</f>
        <v/>
      </c>
      <c r="R459" s="16">
        <f>IFERROR(VLOOKUP(H459,Clientes!$A$2:$H$400,3,0),"")</f>
        <v/>
      </c>
      <c r="S459" s="16">
        <f>IFERROR(VLOOKUP(H459,Clientes!$A$2:$H$400,4,0),"")</f>
        <v/>
      </c>
      <c r="T459" s="16">
        <f>IFERROR(VLOOKUP(H459,Clientes!$A$2:$H$400,5,0),"")</f>
        <v/>
      </c>
      <c r="U459" s="16">
        <f>IFERROR(VLOOKUP(F459,'LP MONCAR'!$A$4:$D$500,4,0),"")</f>
        <v/>
      </c>
    </row>
    <row r="460">
      <c r="A460" s="37" t="n"/>
      <c r="B460" s="16" t="n">
        <v>1803</v>
      </c>
      <c r="C460" s="16" t="inlineStr">
        <is>
          <t>Maxi</t>
        </is>
      </c>
      <c r="D460" s="17" t="n">
        <v>46190</v>
      </c>
      <c r="E460" s="16">
        <f>IFERROR(IF(LEFT(F460,2)="RM","RMH","MONCAR"),"")</f>
        <v/>
      </c>
      <c r="F460" s="16" t="inlineStr">
        <is>
          <t>RM 040</t>
        </is>
      </c>
      <c r="G460" s="16" t="n">
        <v>5</v>
      </c>
      <c r="H460" s="16" t="inlineStr">
        <is>
          <t>PACIFICO 2</t>
        </is>
      </c>
      <c r="I460" s="19" t="n"/>
      <c r="J460" s="18">
        <f>IF(TRIM(F460)="","",IF(LEFT(TRIM(F460),2)="RM",IFERROR(IF(D460&gt;=DATE(2026,4,1),INDEX('LP RMH'!$F:$F,MATCH(TRIM(F460),'LP RMH'!$A:$A,0)),INDEX('LP RMH'!$E:$E,MATCH(TRIM(F460),'LP RMH'!$A:$A,0))),0),IFERROR(INDEX('LP MONCAR'!$E:$E,MATCH(TRIM(F460),'LP MONCAR'!$A:$A,0)),0)))</f>
        <v/>
      </c>
      <c r="K460" s="18">
        <f>IF(AND(ISNUMBER(G460),ISNUMBER(J460),G460&gt;0,J460&gt;0),G460*J460,"")</f>
        <v/>
      </c>
      <c r="L460" s="16">
        <f>IF(D460&lt;&gt;"",TEXT(D460,"YYYY-MM"),"")</f>
        <v/>
      </c>
      <c r="M460" s="16" t="n"/>
      <c r="N460" s="18">
        <f>IFERROR(IF(ISNUMBER(G460),G460*VLOOKUP(F460,Costos!$A$4:$E$320,5,0),0),0)</f>
        <v/>
      </c>
      <c r="O460" s="16">
        <f>IF(K460&lt;&gt;"",K460-N460,"")</f>
        <v/>
      </c>
      <c r="P460" s="16">
        <f>IFERROR(VLOOKUP(F460,'LP MONCAR'!$A$4:$C$500,3,0),"")</f>
        <v/>
      </c>
      <c r="Q460" s="16">
        <f>IFERROR(VLOOKUP(H460,Clientes!$A$2:$H$400,2,0),"")</f>
        <v/>
      </c>
      <c r="R460" s="16">
        <f>IFERROR(VLOOKUP(H460,Clientes!$A$2:$H$400,3,0),"")</f>
        <v/>
      </c>
      <c r="S460" s="16">
        <f>IFERROR(VLOOKUP(H460,Clientes!$A$2:$H$400,4,0),"")</f>
        <v/>
      </c>
      <c r="T460" s="16">
        <f>IFERROR(VLOOKUP(H460,Clientes!$A$2:$H$400,5,0),"")</f>
        <v/>
      </c>
      <c r="U460" s="16">
        <f>IFERROR(VLOOKUP(F460,'LP MONCAR'!$A$4:$D$500,4,0),"")</f>
        <v/>
      </c>
    </row>
    <row r="461">
      <c r="A461" s="37" t="n"/>
      <c r="B461" s="16" t="n">
        <v>1803</v>
      </c>
      <c r="C461" s="16" t="inlineStr">
        <is>
          <t>Maxi</t>
        </is>
      </c>
      <c r="D461" s="17" t="n">
        <v>46190</v>
      </c>
      <c r="E461" s="16">
        <f>IFERROR(IF(LEFT(F461,2)="RM","RMH","MONCAR"),"")</f>
        <v/>
      </c>
      <c r="F461" s="16" t="inlineStr">
        <is>
          <t>RM 101</t>
        </is>
      </c>
      <c r="G461" s="16" t="n">
        <v>2</v>
      </c>
      <c r="H461" s="16" t="inlineStr">
        <is>
          <t>PACIFICO 2</t>
        </is>
      </c>
      <c r="I461" s="19" t="n"/>
      <c r="J461" s="18">
        <f>IF(TRIM(F461)="","",IF(LEFT(TRIM(F461),2)="RM",IFERROR(IF(D461&gt;=DATE(2026,4,1),INDEX('LP RMH'!$F:$F,MATCH(TRIM(F461),'LP RMH'!$A:$A,0)),INDEX('LP RMH'!$E:$E,MATCH(TRIM(F461),'LP RMH'!$A:$A,0))),0),IFERROR(INDEX('LP MONCAR'!$E:$E,MATCH(TRIM(F461),'LP MONCAR'!$A:$A,0)),0)))</f>
        <v/>
      </c>
      <c r="K461" s="18">
        <f>IF(AND(ISNUMBER(G461),ISNUMBER(J461),G461&gt;0,J461&gt;0),G461*J461,"")</f>
        <v/>
      </c>
      <c r="L461" s="16">
        <f>IF(D461&lt;&gt;"",TEXT(D461,"YYYY-MM"),"")</f>
        <v/>
      </c>
      <c r="M461" s="16" t="n"/>
      <c r="N461" s="18">
        <f>IFERROR(IF(ISNUMBER(G461),G461*VLOOKUP(F461,Costos!$A$4:$E$320,5,0),0),0)</f>
        <v/>
      </c>
      <c r="O461" s="16">
        <f>IF(K461&lt;&gt;"",K461-N461,"")</f>
        <v/>
      </c>
      <c r="P461" s="16">
        <f>IFERROR(VLOOKUP(F461,'LP MONCAR'!$A$4:$C$500,3,0),"")</f>
        <v/>
      </c>
      <c r="Q461" s="16">
        <f>IFERROR(VLOOKUP(H461,Clientes!$A$2:$H$400,2,0),"")</f>
        <v/>
      </c>
      <c r="R461" s="16">
        <f>IFERROR(VLOOKUP(H461,Clientes!$A$2:$H$400,3,0),"")</f>
        <v/>
      </c>
      <c r="S461" s="16">
        <f>IFERROR(VLOOKUP(H461,Clientes!$A$2:$H$400,4,0),"")</f>
        <v/>
      </c>
      <c r="T461" s="16">
        <f>IFERROR(VLOOKUP(H461,Clientes!$A$2:$H$400,5,0),"")</f>
        <v/>
      </c>
      <c r="U461" s="16">
        <f>IFERROR(VLOOKUP(F461,'LP MONCAR'!$A$4:$D$500,4,0),"")</f>
        <v/>
      </c>
    </row>
    <row r="462">
      <c r="A462" s="37" t="n"/>
      <c r="B462" s="16" t="n">
        <v>1805</v>
      </c>
      <c r="C462" s="16" t="inlineStr">
        <is>
          <t>Maxi</t>
        </is>
      </c>
      <c r="D462" s="17" t="n">
        <v>46190</v>
      </c>
      <c r="E462" s="16">
        <f>IFERROR(IF(LEFT(F462,2)="RM","RMH","MONCAR"),"")</f>
        <v/>
      </c>
      <c r="F462" s="16" t="inlineStr">
        <is>
          <t>RM 023</t>
        </is>
      </c>
      <c r="G462" s="16" t="n">
        <v>4</v>
      </c>
      <c r="H462" s="16" t="inlineStr">
        <is>
          <t>PACIFICO</t>
        </is>
      </c>
      <c r="I462" s="19" t="n"/>
      <c r="J462" s="18">
        <f>IF(TRIM(F462)="","",IF(LEFT(TRIM(F462),2)="RM",IFERROR(IF(D462&gt;=DATE(2026,4,1),INDEX('LP RMH'!$F:$F,MATCH(TRIM(F462),'LP RMH'!$A:$A,0)),INDEX('LP RMH'!$E:$E,MATCH(TRIM(F462),'LP RMH'!$A:$A,0))),0),IFERROR(INDEX('LP MONCAR'!$E:$E,MATCH(TRIM(F462),'LP MONCAR'!$A:$A,0)),0)))</f>
        <v/>
      </c>
      <c r="K462" s="18">
        <f>IF(AND(ISNUMBER(G462),ISNUMBER(J462),G462&gt;0,J462&gt;0),G462*J462,"")</f>
        <v/>
      </c>
      <c r="L462" s="16">
        <f>IF(D462&lt;&gt;"",TEXT(D462,"YYYY-MM"),"")</f>
        <v/>
      </c>
      <c r="M462" s="16" t="n"/>
      <c r="N462" s="18">
        <f>IFERROR(IF(ISNUMBER(G462),G462*VLOOKUP(F462,Costos!$A$4:$E$320,5,0),0),0)</f>
        <v/>
      </c>
      <c r="O462" s="16">
        <f>IF(K462&lt;&gt;"",K462-N462,"")</f>
        <v/>
      </c>
      <c r="P462" s="16">
        <f>IFERROR(VLOOKUP(F462,'LP MONCAR'!$A$4:$C$500,3,0),"")</f>
        <v/>
      </c>
      <c r="Q462" s="16">
        <f>IFERROR(VLOOKUP(H462,Clientes!$A$2:$H$400,2,0),"")</f>
        <v/>
      </c>
      <c r="R462" s="16">
        <f>IFERROR(VLOOKUP(H462,Clientes!$A$2:$H$400,3,0),"")</f>
        <v/>
      </c>
      <c r="S462" s="16">
        <f>IFERROR(VLOOKUP(H462,Clientes!$A$2:$H$400,4,0),"")</f>
        <v/>
      </c>
      <c r="T462" s="16">
        <f>IFERROR(VLOOKUP(H462,Clientes!$A$2:$H$400,5,0),"")</f>
        <v/>
      </c>
      <c r="U462" s="16">
        <f>IFERROR(VLOOKUP(F462,'LP MONCAR'!$A$4:$D$500,4,0),"")</f>
        <v/>
      </c>
    </row>
    <row r="463">
      <c r="A463" s="37" t="n"/>
      <c r="B463" s="16" t="n">
        <v>1805</v>
      </c>
      <c r="C463" s="16" t="inlineStr">
        <is>
          <t>Maxi</t>
        </is>
      </c>
      <c r="D463" s="17" t="n">
        <v>46190</v>
      </c>
      <c r="E463" s="16">
        <f>IFERROR(IF(LEFT(F463,2)="RM","RMH","MONCAR"),"")</f>
        <v/>
      </c>
      <c r="F463" s="16" t="inlineStr">
        <is>
          <t>RM 032</t>
        </is>
      </c>
      <c r="G463" s="16" t="n">
        <v>2</v>
      </c>
      <c r="H463" s="16" t="inlineStr">
        <is>
          <t>PACIFICO</t>
        </is>
      </c>
      <c r="I463" s="19" t="n"/>
      <c r="J463" s="18">
        <f>IF(TRIM(F463)="","",IF(LEFT(TRIM(F463),2)="RM",IFERROR(IF(D463&gt;=DATE(2026,4,1),INDEX('LP RMH'!$F:$F,MATCH(TRIM(F463),'LP RMH'!$A:$A,0)),INDEX('LP RMH'!$E:$E,MATCH(TRIM(F463),'LP RMH'!$A:$A,0))),0),IFERROR(INDEX('LP MONCAR'!$E:$E,MATCH(TRIM(F463),'LP MONCAR'!$A:$A,0)),0)))</f>
        <v/>
      </c>
      <c r="K463" s="18">
        <f>IF(AND(ISNUMBER(G463),ISNUMBER(J463),G463&gt;0,J463&gt;0),G463*J463,"")</f>
        <v/>
      </c>
      <c r="L463" s="16">
        <f>IF(D463&lt;&gt;"",TEXT(D463,"YYYY-MM"),"")</f>
        <v/>
      </c>
      <c r="M463" s="16" t="n"/>
      <c r="N463" s="18">
        <f>IFERROR(IF(ISNUMBER(G463),G463*VLOOKUP(F463,Costos!$A$4:$E$320,5,0),0),0)</f>
        <v/>
      </c>
      <c r="O463" s="16">
        <f>IF(K463&lt;&gt;"",K463-N463,"")</f>
        <v/>
      </c>
      <c r="P463" s="16">
        <f>IFERROR(VLOOKUP(F463,'LP MONCAR'!$A$4:$C$500,3,0),"")</f>
        <v/>
      </c>
      <c r="Q463" s="16">
        <f>IFERROR(VLOOKUP(H463,Clientes!$A$2:$H$400,2,0),"")</f>
        <v/>
      </c>
      <c r="R463" s="16">
        <f>IFERROR(VLOOKUP(H463,Clientes!$A$2:$H$400,3,0),"")</f>
        <v/>
      </c>
      <c r="S463" s="16">
        <f>IFERROR(VLOOKUP(H463,Clientes!$A$2:$H$400,4,0),"")</f>
        <v/>
      </c>
      <c r="T463" s="16">
        <f>IFERROR(VLOOKUP(H463,Clientes!$A$2:$H$400,5,0),"")</f>
        <v/>
      </c>
      <c r="U463" s="16">
        <f>IFERROR(VLOOKUP(F463,'LP MONCAR'!$A$4:$D$500,4,0),"")</f>
        <v/>
      </c>
    </row>
    <row r="464">
      <c r="A464" s="37" t="n"/>
      <c r="B464" s="16" t="n">
        <v>1805</v>
      </c>
      <c r="C464" s="16" t="inlineStr">
        <is>
          <t>Maxi</t>
        </is>
      </c>
      <c r="D464" s="17" t="n">
        <v>46190</v>
      </c>
      <c r="E464" s="16">
        <f>IFERROR(IF(LEFT(F464,2)="RM","RMH","MONCAR"),"")</f>
        <v/>
      </c>
      <c r="F464" s="16" t="inlineStr">
        <is>
          <t>RM 033</t>
        </is>
      </c>
      <c r="G464" s="16" t="n">
        <v>2</v>
      </c>
      <c r="H464" s="16" t="inlineStr">
        <is>
          <t>PACIFICO</t>
        </is>
      </c>
      <c r="I464" s="19" t="n"/>
      <c r="J464" s="18">
        <f>IF(TRIM(F464)="","",IF(LEFT(TRIM(F464),2)="RM",IFERROR(IF(D464&gt;=DATE(2026,4,1),INDEX('LP RMH'!$F:$F,MATCH(TRIM(F464),'LP RMH'!$A:$A,0)),INDEX('LP RMH'!$E:$E,MATCH(TRIM(F464),'LP RMH'!$A:$A,0))),0),IFERROR(INDEX('LP MONCAR'!$E:$E,MATCH(TRIM(F464),'LP MONCAR'!$A:$A,0)),0)))</f>
        <v/>
      </c>
      <c r="K464" s="18">
        <f>IF(AND(ISNUMBER(G464),ISNUMBER(J464),G464&gt;0,J464&gt;0),G464*J464,"")</f>
        <v/>
      </c>
      <c r="L464" s="16">
        <f>IF(D464&lt;&gt;"",TEXT(D464,"YYYY-MM"),"")</f>
        <v/>
      </c>
      <c r="M464" s="16" t="n"/>
      <c r="N464" s="18">
        <f>IFERROR(IF(ISNUMBER(G464),G464*VLOOKUP(F464,Costos!$A$4:$E$320,5,0),0),0)</f>
        <v/>
      </c>
      <c r="O464" s="16">
        <f>IF(K464&lt;&gt;"",K464-N464,"")</f>
        <v/>
      </c>
      <c r="P464" s="16">
        <f>IFERROR(VLOOKUP(F464,'LP MONCAR'!$A$4:$C$500,3,0),"")</f>
        <v/>
      </c>
      <c r="Q464" s="16">
        <f>IFERROR(VLOOKUP(H464,Clientes!$A$2:$H$400,2,0),"")</f>
        <v/>
      </c>
      <c r="R464" s="16">
        <f>IFERROR(VLOOKUP(H464,Clientes!$A$2:$H$400,3,0),"")</f>
        <v/>
      </c>
      <c r="S464" s="16">
        <f>IFERROR(VLOOKUP(H464,Clientes!$A$2:$H$400,4,0),"")</f>
        <v/>
      </c>
      <c r="T464" s="16">
        <f>IFERROR(VLOOKUP(H464,Clientes!$A$2:$H$400,5,0),"")</f>
        <v/>
      </c>
      <c r="U464" s="16">
        <f>IFERROR(VLOOKUP(F464,'LP MONCAR'!$A$4:$D$500,4,0),"")</f>
        <v/>
      </c>
    </row>
    <row r="465">
      <c r="A465" s="37" t="n"/>
      <c r="B465" s="16" t="n">
        <v>1805</v>
      </c>
      <c r="C465" s="16" t="inlineStr">
        <is>
          <t>Maxi</t>
        </is>
      </c>
      <c r="D465" s="17" t="n">
        <v>46190</v>
      </c>
      <c r="E465" s="16">
        <f>IFERROR(IF(LEFT(F465,2)="RM","RMH","MONCAR"),"")</f>
        <v/>
      </c>
      <c r="F465" s="16" t="inlineStr">
        <is>
          <t>RM 035</t>
        </is>
      </c>
      <c r="G465" s="16" t="n">
        <v>4</v>
      </c>
      <c r="H465" s="16" t="inlineStr">
        <is>
          <t>PACIFICO</t>
        </is>
      </c>
      <c r="I465" s="19" t="n"/>
      <c r="J465" s="18">
        <f>IF(TRIM(F465)="","",IF(LEFT(TRIM(F465),2)="RM",IFERROR(IF(D465&gt;=DATE(2026,4,1),INDEX('LP RMH'!$F:$F,MATCH(TRIM(F465),'LP RMH'!$A:$A,0)),INDEX('LP RMH'!$E:$E,MATCH(TRIM(F465),'LP RMH'!$A:$A,0))),0),IFERROR(INDEX('LP MONCAR'!$E:$E,MATCH(TRIM(F465),'LP MONCAR'!$A:$A,0)),0)))</f>
        <v/>
      </c>
      <c r="K465" s="18">
        <f>IF(AND(ISNUMBER(G465),ISNUMBER(J465),G465&gt;0,J465&gt;0),G465*J465,"")</f>
        <v/>
      </c>
      <c r="L465" s="16">
        <f>IF(D465&lt;&gt;"",TEXT(D465,"YYYY-MM"),"")</f>
        <v/>
      </c>
      <c r="M465" s="16" t="n"/>
      <c r="N465" s="18">
        <f>IFERROR(IF(ISNUMBER(G465),G465*VLOOKUP(F465,Costos!$A$4:$E$320,5,0),0),0)</f>
        <v/>
      </c>
      <c r="O465" s="16">
        <f>IF(K465&lt;&gt;"",K465-N465,"")</f>
        <v/>
      </c>
      <c r="P465" s="16">
        <f>IFERROR(VLOOKUP(F465,'LP MONCAR'!$A$4:$C$500,3,0),"")</f>
        <v/>
      </c>
      <c r="Q465" s="16">
        <f>IFERROR(VLOOKUP(H465,Clientes!$A$2:$H$400,2,0),"")</f>
        <v/>
      </c>
      <c r="R465" s="16">
        <f>IFERROR(VLOOKUP(H465,Clientes!$A$2:$H$400,3,0),"")</f>
        <v/>
      </c>
      <c r="S465" s="16">
        <f>IFERROR(VLOOKUP(H465,Clientes!$A$2:$H$400,4,0),"")</f>
        <v/>
      </c>
      <c r="T465" s="16">
        <f>IFERROR(VLOOKUP(H465,Clientes!$A$2:$H$400,5,0),"")</f>
        <v/>
      </c>
      <c r="U465" s="16">
        <f>IFERROR(VLOOKUP(F465,'LP MONCAR'!$A$4:$D$500,4,0),"")</f>
        <v/>
      </c>
    </row>
    <row r="466">
      <c r="A466" s="37" t="n"/>
      <c r="B466" s="16" t="n">
        <v>1805</v>
      </c>
      <c r="C466" s="16" t="inlineStr">
        <is>
          <t>Maxi</t>
        </is>
      </c>
      <c r="D466" s="17" t="n">
        <v>46190</v>
      </c>
      <c r="E466" s="16">
        <f>IFERROR(IF(LEFT(F466,2)="RM","RMH","MONCAR"),"")</f>
        <v/>
      </c>
      <c r="F466" s="16" t="inlineStr">
        <is>
          <t>RM 040</t>
        </is>
      </c>
      <c r="G466" s="16" t="n">
        <v>6</v>
      </c>
      <c r="H466" s="16" t="inlineStr">
        <is>
          <t>PACIFICO</t>
        </is>
      </c>
      <c r="I466" s="19" t="n"/>
      <c r="J466" s="18">
        <f>IF(TRIM(F466)="","",IF(LEFT(TRIM(F466),2)="RM",IFERROR(IF(D466&gt;=DATE(2026,4,1),INDEX('LP RMH'!$F:$F,MATCH(TRIM(F466),'LP RMH'!$A:$A,0)),INDEX('LP RMH'!$E:$E,MATCH(TRIM(F466),'LP RMH'!$A:$A,0))),0),IFERROR(INDEX('LP MONCAR'!$E:$E,MATCH(TRIM(F466),'LP MONCAR'!$A:$A,0)),0)))</f>
        <v/>
      </c>
      <c r="K466" s="18">
        <f>IF(AND(ISNUMBER(G466),ISNUMBER(J466),G466&gt;0,J466&gt;0),G466*J466,"")</f>
        <v/>
      </c>
      <c r="L466" s="16">
        <f>IF(D466&lt;&gt;"",TEXT(D466,"YYYY-MM"),"")</f>
        <v/>
      </c>
      <c r="M466" s="16" t="n"/>
      <c r="N466" s="18">
        <f>IFERROR(IF(ISNUMBER(G466),G466*VLOOKUP(F466,Costos!$A$4:$E$320,5,0),0),0)</f>
        <v/>
      </c>
      <c r="O466" s="16">
        <f>IF(K466&lt;&gt;"",K466-N466,"")</f>
        <v/>
      </c>
      <c r="P466" s="16">
        <f>IFERROR(VLOOKUP(F466,'LP MONCAR'!$A$4:$C$500,3,0),"")</f>
        <v/>
      </c>
      <c r="Q466" s="16">
        <f>IFERROR(VLOOKUP(H466,Clientes!$A$2:$H$400,2,0),"")</f>
        <v/>
      </c>
      <c r="R466" s="16">
        <f>IFERROR(VLOOKUP(H466,Clientes!$A$2:$H$400,3,0),"")</f>
        <v/>
      </c>
      <c r="S466" s="16">
        <f>IFERROR(VLOOKUP(H466,Clientes!$A$2:$H$400,4,0),"")</f>
        <v/>
      </c>
      <c r="T466" s="16">
        <f>IFERROR(VLOOKUP(H466,Clientes!$A$2:$H$400,5,0),"")</f>
        <v/>
      </c>
      <c r="U466" s="16">
        <f>IFERROR(VLOOKUP(F466,'LP MONCAR'!$A$4:$D$500,4,0),"")</f>
        <v/>
      </c>
    </row>
    <row r="467">
      <c r="A467" s="37" t="n"/>
      <c r="B467" s="16" t="n">
        <v>1805</v>
      </c>
      <c r="C467" s="16" t="inlineStr">
        <is>
          <t>Maxi</t>
        </is>
      </c>
      <c r="D467" s="17" t="n">
        <v>46190</v>
      </c>
      <c r="E467" s="16">
        <f>IFERROR(IF(LEFT(F467,2)="RM","RMH","MONCAR"),"")</f>
        <v/>
      </c>
      <c r="F467" s="16" t="inlineStr">
        <is>
          <t>RM 409</t>
        </is>
      </c>
      <c r="G467" s="16" t="n">
        <v>1</v>
      </c>
      <c r="H467" s="16" t="inlineStr">
        <is>
          <t>PACIFICO</t>
        </is>
      </c>
      <c r="I467" s="19" t="n"/>
      <c r="J467" s="18">
        <f>IF(TRIM(F467)="","",IF(LEFT(TRIM(F467),2)="RM",IFERROR(IF(D467&gt;=DATE(2026,4,1),INDEX('LP RMH'!$F:$F,MATCH(TRIM(F467),'LP RMH'!$A:$A,0)),INDEX('LP RMH'!$E:$E,MATCH(TRIM(F467),'LP RMH'!$A:$A,0))),0),IFERROR(INDEX('LP MONCAR'!$E:$E,MATCH(TRIM(F467),'LP MONCAR'!$A:$A,0)),0)))</f>
        <v/>
      </c>
      <c r="K467" s="18">
        <f>IF(AND(ISNUMBER(G467),ISNUMBER(J467),G467&gt;0,J467&gt;0),G467*J467,"")</f>
        <v/>
      </c>
      <c r="L467" s="16">
        <f>IF(D467&lt;&gt;"",TEXT(D467,"YYYY-MM"),"")</f>
        <v/>
      </c>
      <c r="M467" s="16" t="n"/>
      <c r="N467" s="18">
        <f>IFERROR(IF(ISNUMBER(G467),G467*VLOOKUP(F467,Costos!$A$4:$E$320,5,0),0),0)</f>
        <v/>
      </c>
      <c r="O467" s="16">
        <f>IF(K467&lt;&gt;"",K467-N467,"")</f>
        <v/>
      </c>
      <c r="P467" s="16">
        <f>IFERROR(VLOOKUP(F467,'LP MONCAR'!$A$4:$C$500,3,0),"")</f>
        <v/>
      </c>
      <c r="Q467" s="16">
        <f>IFERROR(VLOOKUP(H467,Clientes!$A$2:$H$400,2,0),"")</f>
        <v/>
      </c>
      <c r="R467" s="16">
        <f>IFERROR(VLOOKUP(H467,Clientes!$A$2:$H$400,3,0),"")</f>
        <v/>
      </c>
      <c r="S467" s="16">
        <f>IFERROR(VLOOKUP(H467,Clientes!$A$2:$H$400,4,0),"")</f>
        <v/>
      </c>
      <c r="T467" s="16">
        <f>IFERROR(VLOOKUP(H467,Clientes!$A$2:$H$400,5,0),"")</f>
        <v/>
      </c>
      <c r="U467" s="16">
        <f>IFERROR(VLOOKUP(F467,'LP MONCAR'!$A$4:$D$500,4,0),"")</f>
        <v/>
      </c>
    </row>
    <row r="468">
      <c r="A468" s="37" t="n"/>
      <c r="B468" s="16" t="n">
        <v>1805</v>
      </c>
      <c r="C468" s="16" t="inlineStr">
        <is>
          <t>Maxi</t>
        </is>
      </c>
      <c r="D468" s="17" t="n">
        <v>46190</v>
      </c>
      <c r="E468" s="16">
        <f>IFERROR(IF(LEFT(F468,2)="RM","RMH","MONCAR"),"")</f>
        <v/>
      </c>
      <c r="F468" s="16" t="inlineStr">
        <is>
          <t>RM 413</t>
        </is>
      </c>
      <c r="G468" s="16" t="n">
        <v>1</v>
      </c>
      <c r="H468" s="16" t="inlineStr">
        <is>
          <t>PACIFICO</t>
        </is>
      </c>
      <c r="I468" s="19" t="n"/>
      <c r="J468" s="18">
        <f>IF(TRIM(F468)="","",IF(LEFT(TRIM(F468),2)="RM",IFERROR(IF(D468&gt;=DATE(2026,4,1),INDEX('LP RMH'!$F:$F,MATCH(TRIM(F468),'LP RMH'!$A:$A,0)),INDEX('LP RMH'!$E:$E,MATCH(TRIM(F468),'LP RMH'!$A:$A,0))),0),IFERROR(INDEX('LP MONCAR'!$E:$E,MATCH(TRIM(F468),'LP MONCAR'!$A:$A,0)),0)))</f>
        <v/>
      </c>
      <c r="K468" s="18">
        <f>IF(AND(ISNUMBER(G468),ISNUMBER(J468),G468&gt;0,J468&gt;0),G468*J468,"")</f>
        <v/>
      </c>
      <c r="L468" s="16">
        <f>IF(D468&lt;&gt;"",TEXT(D468,"YYYY-MM"),"")</f>
        <v/>
      </c>
      <c r="M468" s="16" t="n"/>
      <c r="N468" s="18">
        <f>IFERROR(IF(ISNUMBER(G468),G468*VLOOKUP(F468,Costos!$A$4:$E$320,5,0),0),0)</f>
        <v/>
      </c>
      <c r="O468" s="16">
        <f>IF(K468&lt;&gt;"",K468-N468,"")</f>
        <v/>
      </c>
      <c r="P468" s="16">
        <f>IFERROR(VLOOKUP(F468,'LP MONCAR'!$A$4:$C$500,3,0),"")</f>
        <v/>
      </c>
      <c r="Q468" s="16">
        <f>IFERROR(VLOOKUP(H468,Clientes!$A$2:$H$400,2,0),"")</f>
        <v/>
      </c>
      <c r="R468" s="16">
        <f>IFERROR(VLOOKUP(H468,Clientes!$A$2:$H$400,3,0),"")</f>
        <v/>
      </c>
      <c r="S468" s="16">
        <f>IFERROR(VLOOKUP(H468,Clientes!$A$2:$H$400,4,0),"")</f>
        <v/>
      </c>
      <c r="T468" s="16">
        <f>IFERROR(VLOOKUP(H468,Clientes!$A$2:$H$400,5,0),"")</f>
        <v/>
      </c>
      <c r="U468" s="16">
        <f>IFERROR(VLOOKUP(F468,'LP MONCAR'!$A$4:$D$500,4,0),"")</f>
        <v/>
      </c>
    </row>
    <row r="469">
      <c r="A469" s="37" t="n"/>
      <c r="B469" s="16" t="n">
        <v>1805</v>
      </c>
      <c r="C469" s="16" t="inlineStr">
        <is>
          <t>Maxi</t>
        </is>
      </c>
      <c r="D469" s="17" t="n">
        <v>46190</v>
      </c>
      <c r="E469" s="16">
        <f>IFERROR(IF(LEFT(F469,2)="RM","RMH","MONCAR"),"")</f>
        <v/>
      </c>
      <c r="F469" s="16" t="inlineStr">
        <is>
          <t>RM 414</t>
        </is>
      </c>
      <c r="G469" s="16" t="n">
        <v>1</v>
      </c>
      <c r="H469" s="16" t="inlineStr">
        <is>
          <t>PACIFICO</t>
        </is>
      </c>
      <c r="I469" s="19" t="n"/>
      <c r="J469" s="18">
        <f>IF(TRIM(F469)="","",IF(LEFT(TRIM(F469),2)="RM",IFERROR(IF(D469&gt;=DATE(2026,4,1),INDEX('LP RMH'!$F:$F,MATCH(TRIM(F469),'LP RMH'!$A:$A,0)),INDEX('LP RMH'!$E:$E,MATCH(TRIM(F469),'LP RMH'!$A:$A,0))),0),IFERROR(INDEX('LP MONCAR'!$E:$E,MATCH(TRIM(F469),'LP MONCAR'!$A:$A,0)),0)))</f>
        <v/>
      </c>
      <c r="K469" s="18">
        <f>IF(AND(ISNUMBER(G469),ISNUMBER(J469),G469&gt;0,J469&gt;0),G469*J469,"")</f>
        <v/>
      </c>
      <c r="L469" s="16">
        <f>IF(D469&lt;&gt;"",TEXT(D469,"YYYY-MM"),"")</f>
        <v/>
      </c>
      <c r="M469" s="16" t="n"/>
      <c r="N469" s="18">
        <f>IFERROR(IF(ISNUMBER(G469),G469*VLOOKUP(F469,Costos!$A$4:$E$320,5,0),0),0)</f>
        <v/>
      </c>
      <c r="O469" s="16">
        <f>IF(K469&lt;&gt;"",K469-N469,"")</f>
        <v/>
      </c>
      <c r="P469" s="16">
        <f>IFERROR(VLOOKUP(F469,'LP MONCAR'!$A$4:$C$500,3,0),"")</f>
        <v/>
      </c>
      <c r="Q469" s="16">
        <f>IFERROR(VLOOKUP(H469,Clientes!$A$2:$H$400,2,0),"")</f>
        <v/>
      </c>
      <c r="R469" s="16">
        <f>IFERROR(VLOOKUP(H469,Clientes!$A$2:$H$400,3,0),"")</f>
        <v/>
      </c>
      <c r="S469" s="16">
        <f>IFERROR(VLOOKUP(H469,Clientes!$A$2:$H$400,4,0),"")</f>
        <v/>
      </c>
      <c r="T469" s="16">
        <f>IFERROR(VLOOKUP(H469,Clientes!$A$2:$H$400,5,0),"")</f>
        <v/>
      </c>
      <c r="U469" s="16">
        <f>IFERROR(VLOOKUP(F469,'LP MONCAR'!$A$4:$D$500,4,0),"")</f>
        <v/>
      </c>
    </row>
    <row r="470">
      <c r="A470" s="37" t="n"/>
      <c r="B470" s="16" t="n">
        <v>4002</v>
      </c>
      <c r="C470" s="16" t="inlineStr">
        <is>
          <t>Franco</t>
        </is>
      </c>
      <c r="D470" s="17" t="n">
        <v>46203</v>
      </c>
      <c r="E470" s="16">
        <f>IFERROR(IF(LEFT(F470,2)="RM","RMH","MONCAR"),"")</f>
        <v/>
      </c>
      <c r="F470" s="16" t="inlineStr">
        <is>
          <t>CF 058</t>
        </is>
      </c>
      <c r="G470" s="16" t="n">
        <v>12</v>
      </c>
      <c r="H470" s="16" t="inlineStr">
        <is>
          <t>Adrian Basgall</t>
        </is>
      </c>
      <c r="I470" s="19" t="n"/>
      <c r="J470" s="18">
        <f>IF(TRIM(F470)="","",IF(LEFT(TRIM(F470),2)="RM",IFERROR(IF(D470&gt;=DATE(2026,4,1),INDEX('LP RMH'!$F:$F,MATCH(TRIM(F470),'LP RMH'!$A:$A,0)),INDEX('LP RMH'!$E:$E,MATCH(TRIM(F470),'LP RMH'!$A:$A,0))),0),IFERROR(INDEX('LP MONCAR'!$E:$E,MATCH(TRIM(F470),'LP MONCAR'!$A:$A,0)),0)))</f>
        <v/>
      </c>
      <c r="K470" s="18">
        <f>IF(AND(ISNUMBER(G470),ISNUMBER(J470),G470&gt;0,J470&gt;0),G470*J470,"")</f>
        <v/>
      </c>
      <c r="L470" s="16">
        <f>IF(D470&lt;&gt;"",TEXT(D470,"YYYY-MM"),"")</f>
        <v/>
      </c>
      <c r="M470" s="16" t="n"/>
      <c r="N470" s="18">
        <f>IFERROR(IF(ISNUMBER(G470),G470*VLOOKUP(F470,Costos!$A$4:$E$320,5,0),0),0)</f>
        <v/>
      </c>
      <c r="O470" s="16">
        <f>IF(K470&lt;&gt;"",K470-N470,"")</f>
        <v/>
      </c>
      <c r="P470" s="16">
        <f>IFERROR(VLOOKUP(F470,'LP MONCAR'!$A$4:$C$500,3,0),"")</f>
        <v/>
      </c>
      <c r="Q470" s="16">
        <f>IFERROR(VLOOKUP(H470,Clientes!$A$2:$H$400,2,0),"")</f>
        <v/>
      </c>
      <c r="R470" s="16">
        <f>IFERROR(VLOOKUP(H470,Clientes!$A$2:$H$400,3,0),"")</f>
        <v/>
      </c>
      <c r="S470" s="16">
        <f>IFERROR(VLOOKUP(H470,Clientes!$A$2:$H$400,4,0),"")</f>
        <v/>
      </c>
      <c r="T470" s="16">
        <f>IFERROR(VLOOKUP(H470,Clientes!$A$2:$H$400,5,0),"")</f>
        <v/>
      </c>
      <c r="U470" s="16">
        <f>IFERROR(VLOOKUP(F470,'LP MONCAR'!$A$4:$D$500,4,0),"")</f>
        <v/>
      </c>
    </row>
    <row r="471">
      <c r="A471" s="37" t="n"/>
      <c r="B471" s="16" t="n">
        <v>4002</v>
      </c>
      <c r="C471" s="16" t="inlineStr">
        <is>
          <t>Franco</t>
        </is>
      </c>
      <c r="D471" s="17" t="n">
        <v>46203</v>
      </c>
      <c r="E471" s="16">
        <f>IFERROR(IF(LEFT(F471,2)="RM","RMH","MONCAR"),"")</f>
        <v/>
      </c>
      <c r="F471" s="16" t="inlineStr">
        <is>
          <t>CF 189</t>
        </is>
      </c>
      <c r="G471" s="16" t="n">
        <v>5</v>
      </c>
      <c r="H471" s="16" t="inlineStr">
        <is>
          <t>Adrian Basgall</t>
        </is>
      </c>
      <c r="I471" s="19" t="n"/>
      <c r="J471" s="18">
        <f>IF(TRIM(F471)="","",IF(LEFT(TRIM(F471),2)="RM",IFERROR(IF(D471&gt;=DATE(2026,4,1),INDEX('LP RMH'!$F:$F,MATCH(TRIM(F471),'LP RMH'!$A:$A,0)),INDEX('LP RMH'!$E:$E,MATCH(TRIM(F471),'LP RMH'!$A:$A,0))),0),IFERROR(INDEX('LP MONCAR'!$E:$E,MATCH(TRIM(F471),'LP MONCAR'!$A:$A,0)),0)))</f>
        <v/>
      </c>
      <c r="K471" s="18">
        <f>IF(AND(ISNUMBER(G471),ISNUMBER(J471),G471&gt;0,J471&gt;0),G471*J471,"")</f>
        <v/>
      </c>
      <c r="L471" s="16">
        <f>IF(D471&lt;&gt;"",TEXT(D471,"YYYY-MM"),"")</f>
        <v/>
      </c>
      <c r="M471" s="16" t="n"/>
      <c r="N471" s="18">
        <f>IFERROR(IF(ISNUMBER(G471),G471*VLOOKUP(F471,Costos!$A$4:$E$320,5,0),0),0)</f>
        <v/>
      </c>
      <c r="O471" s="16">
        <f>IF(K471&lt;&gt;"",K471-N471,"")</f>
        <v/>
      </c>
      <c r="P471" s="16">
        <f>IFERROR(VLOOKUP(F471,'LP MONCAR'!$A$4:$C$500,3,0),"")</f>
        <v/>
      </c>
      <c r="Q471" s="16">
        <f>IFERROR(VLOOKUP(H471,Clientes!$A$2:$H$400,2,0),"")</f>
        <v/>
      </c>
      <c r="R471" s="16">
        <f>IFERROR(VLOOKUP(H471,Clientes!$A$2:$H$400,3,0),"")</f>
        <v/>
      </c>
      <c r="S471" s="16">
        <f>IFERROR(VLOOKUP(H471,Clientes!$A$2:$H$400,4,0),"")</f>
        <v/>
      </c>
      <c r="T471" s="16">
        <f>IFERROR(VLOOKUP(H471,Clientes!$A$2:$H$400,5,0),"")</f>
        <v/>
      </c>
      <c r="U471" s="16">
        <f>IFERROR(VLOOKUP(F471,'LP MONCAR'!$A$4:$D$500,4,0),"")</f>
        <v/>
      </c>
    </row>
    <row r="472">
      <c r="A472" s="37" t="n"/>
      <c r="B472" s="16" t="n">
        <v>4002</v>
      </c>
      <c r="C472" s="16" t="inlineStr">
        <is>
          <t>Franco</t>
        </is>
      </c>
      <c r="D472" s="17" t="n">
        <v>46203</v>
      </c>
      <c r="E472" s="16">
        <f>IFERROR(IF(LEFT(F472,2)="RM","RMH","MONCAR"),"")</f>
        <v/>
      </c>
      <c r="F472" s="16" t="inlineStr">
        <is>
          <t>CF 665</t>
        </is>
      </c>
      <c r="G472" s="16" t="n">
        <v>5</v>
      </c>
      <c r="H472" s="16" t="inlineStr">
        <is>
          <t>Adrian Basgall</t>
        </is>
      </c>
      <c r="I472" s="19" t="n"/>
      <c r="J472" s="18">
        <f>IF(TRIM(F472)="","",IF(LEFT(TRIM(F472),2)="RM",IFERROR(IF(D472&gt;=DATE(2026,4,1),INDEX('LP RMH'!$F:$F,MATCH(TRIM(F472),'LP RMH'!$A:$A,0)),INDEX('LP RMH'!$E:$E,MATCH(TRIM(F472),'LP RMH'!$A:$A,0))),0),IFERROR(INDEX('LP MONCAR'!$E:$E,MATCH(TRIM(F472),'LP MONCAR'!$A:$A,0)),0)))</f>
        <v/>
      </c>
      <c r="K472" s="18">
        <f>IF(AND(ISNUMBER(G472),ISNUMBER(J472),G472&gt;0,J472&gt;0),G472*J472,"")</f>
        <v/>
      </c>
      <c r="L472" s="16">
        <f>IF(D472&lt;&gt;"",TEXT(D472,"YYYY-MM"),"")</f>
        <v/>
      </c>
      <c r="M472" s="16" t="n"/>
      <c r="N472" s="18">
        <f>IFERROR(IF(ISNUMBER(G472),G472*VLOOKUP(F472,Costos!$A$4:$E$320,5,0),0),0)</f>
        <v/>
      </c>
      <c r="O472" s="16">
        <f>IF(K472&lt;&gt;"",K472-N472,"")</f>
        <v/>
      </c>
      <c r="P472" s="16">
        <f>IFERROR(VLOOKUP(F472,'LP MONCAR'!$A$4:$C$500,3,0),"")</f>
        <v/>
      </c>
      <c r="Q472" s="16">
        <f>IFERROR(VLOOKUP(H472,Clientes!$A$2:$H$400,2,0),"")</f>
        <v/>
      </c>
      <c r="R472" s="16">
        <f>IFERROR(VLOOKUP(H472,Clientes!$A$2:$H$400,3,0),"")</f>
        <v/>
      </c>
      <c r="S472" s="16">
        <f>IFERROR(VLOOKUP(H472,Clientes!$A$2:$H$400,4,0),"")</f>
        <v/>
      </c>
      <c r="T472" s="16">
        <f>IFERROR(VLOOKUP(H472,Clientes!$A$2:$H$400,5,0),"")</f>
        <v/>
      </c>
      <c r="U472" s="16">
        <f>IFERROR(VLOOKUP(F472,'LP MONCAR'!$A$4:$D$500,4,0),"")</f>
        <v/>
      </c>
    </row>
    <row r="473">
      <c r="A473" s="37" t="n"/>
      <c r="B473" s="16" t="n">
        <v>4002</v>
      </c>
      <c r="C473" s="16" t="inlineStr">
        <is>
          <t>Franco</t>
        </is>
      </c>
      <c r="D473" s="17" t="n">
        <v>46203</v>
      </c>
      <c r="E473" s="16">
        <f>IFERROR(IF(LEFT(F473,2)="RM","RMH","MONCAR"),"")</f>
        <v/>
      </c>
      <c r="F473" s="16" t="inlineStr">
        <is>
          <t>CF 020</t>
        </is>
      </c>
      <c r="G473" s="16" t="n">
        <v>10</v>
      </c>
      <c r="H473" s="16" t="inlineStr">
        <is>
          <t>Adrian Basgall</t>
        </is>
      </c>
      <c r="I473" s="19" t="n"/>
      <c r="J473" s="18">
        <f>IF(TRIM(F473)="","",IF(LEFT(TRIM(F473),2)="RM",IFERROR(IF(D473&gt;=DATE(2026,4,1),INDEX('LP RMH'!$F:$F,MATCH(TRIM(F473),'LP RMH'!$A:$A,0)),INDEX('LP RMH'!$E:$E,MATCH(TRIM(F473),'LP RMH'!$A:$A,0))),0),IFERROR(INDEX('LP MONCAR'!$E:$E,MATCH(TRIM(F473),'LP MONCAR'!$A:$A,0)),0)))</f>
        <v/>
      </c>
      <c r="K473" s="18">
        <f>IF(AND(ISNUMBER(G473),ISNUMBER(J473),G473&gt;0,J473&gt;0),G473*J473,"")</f>
        <v/>
      </c>
      <c r="L473" s="16">
        <f>IF(D473&lt;&gt;"",TEXT(D473,"YYYY-MM"),"")</f>
        <v/>
      </c>
      <c r="M473" s="16" t="n"/>
      <c r="N473" s="18">
        <f>IFERROR(IF(ISNUMBER(G473),G473*VLOOKUP(F473,Costos!$A$4:$E$320,5,0),0),0)</f>
        <v/>
      </c>
      <c r="O473" s="16">
        <f>IF(K473&lt;&gt;"",K473-N473,"")</f>
        <v/>
      </c>
      <c r="P473" s="16">
        <f>IFERROR(VLOOKUP(F473,'LP MONCAR'!$A$4:$C$500,3,0),"")</f>
        <v/>
      </c>
      <c r="Q473" s="16">
        <f>IFERROR(VLOOKUP(H473,Clientes!$A$2:$H$400,2,0),"")</f>
        <v/>
      </c>
      <c r="R473" s="16">
        <f>IFERROR(VLOOKUP(H473,Clientes!$A$2:$H$400,3,0),"")</f>
        <v/>
      </c>
      <c r="S473" s="16">
        <f>IFERROR(VLOOKUP(H473,Clientes!$A$2:$H$400,4,0),"")</f>
        <v/>
      </c>
      <c r="T473" s="16">
        <f>IFERROR(VLOOKUP(H473,Clientes!$A$2:$H$400,5,0),"")</f>
        <v/>
      </c>
      <c r="U473" s="16">
        <f>IFERROR(VLOOKUP(F473,'LP MONCAR'!$A$4:$D$500,4,0),"")</f>
        <v/>
      </c>
    </row>
    <row r="474">
      <c r="A474" s="37" t="n"/>
      <c r="B474" s="16" t="n">
        <v>4002</v>
      </c>
      <c r="C474" s="16" t="inlineStr">
        <is>
          <t>Franco</t>
        </is>
      </c>
      <c r="D474" s="17" t="n">
        <v>46203</v>
      </c>
      <c r="E474" s="16">
        <f>IFERROR(IF(LEFT(F474,2)="RM","RMH","MONCAR"),"")</f>
        <v/>
      </c>
      <c r="F474" s="16" t="inlineStr">
        <is>
          <t>CF 611</t>
        </is>
      </c>
      <c r="G474" s="16" t="n">
        <v>5</v>
      </c>
      <c r="H474" s="16" t="inlineStr">
        <is>
          <t>Adrian Basgall</t>
        </is>
      </c>
      <c r="I474" s="19" t="n"/>
      <c r="J474" s="18">
        <f>IF(TRIM(F474)="","",IF(LEFT(TRIM(F474),2)="RM",IFERROR(IF(D474&gt;=DATE(2026,4,1),INDEX('LP RMH'!$F:$F,MATCH(TRIM(F474),'LP RMH'!$A:$A,0)),INDEX('LP RMH'!$E:$E,MATCH(TRIM(F474),'LP RMH'!$A:$A,0))),0),IFERROR(INDEX('LP MONCAR'!$E:$E,MATCH(TRIM(F474),'LP MONCAR'!$A:$A,0)),0)))</f>
        <v/>
      </c>
      <c r="K474" s="18">
        <f>IF(AND(ISNUMBER(G474),ISNUMBER(J474),G474&gt;0,J474&gt;0),G474*J474,"")</f>
        <v/>
      </c>
      <c r="L474" s="16">
        <f>IF(D474&lt;&gt;"",TEXT(D474,"YYYY-MM"),"")</f>
        <v/>
      </c>
      <c r="M474" s="16" t="n"/>
      <c r="N474" s="18">
        <f>IFERROR(IF(ISNUMBER(G474),G474*VLOOKUP(F474,Costos!$A$4:$E$320,5,0),0),0)</f>
        <v/>
      </c>
      <c r="O474" s="16">
        <f>IF(K474&lt;&gt;"",K474-N474,"")</f>
        <v/>
      </c>
      <c r="P474" s="16">
        <f>IFERROR(VLOOKUP(F474,'LP MONCAR'!$A$4:$C$500,3,0),"")</f>
        <v/>
      </c>
      <c r="Q474" s="16">
        <f>IFERROR(VLOOKUP(H474,Clientes!$A$2:$H$400,2,0),"")</f>
        <v/>
      </c>
      <c r="R474" s="16">
        <f>IFERROR(VLOOKUP(H474,Clientes!$A$2:$H$400,3,0),"")</f>
        <v/>
      </c>
      <c r="S474" s="16">
        <f>IFERROR(VLOOKUP(H474,Clientes!$A$2:$H$400,4,0),"")</f>
        <v/>
      </c>
      <c r="T474" s="16">
        <f>IFERROR(VLOOKUP(H474,Clientes!$A$2:$H$400,5,0),"")</f>
        <v/>
      </c>
      <c r="U474" s="16">
        <f>IFERROR(VLOOKUP(F474,'LP MONCAR'!$A$4:$D$500,4,0),"")</f>
        <v/>
      </c>
    </row>
    <row r="475">
      <c r="A475" s="37" t="n"/>
      <c r="B475" s="16" t="n">
        <v>4002</v>
      </c>
      <c r="C475" s="16" t="inlineStr">
        <is>
          <t>Franco</t>
        </is>
      </c>
      <c r="D475" s="17" t="n">
        <v>46203</v>
      </c>
      <c r="E475" s="16">
        <f>IFERROR(IF(LEFT(F475,2)="RM","RMH","MONCAR"),"")</f>
        <v/>
      </c>
      <c r="F475" s="16" t="inlineStr">
        <is>
          <t>CF 183</t>
        </is>
      </c>
      <c r="G475" s="16" t="n">
        <v>5</v>
      </c>
      <c r="H475" s="16" t="inlineStr">
        <is>
          <t>Adrian Basgall</t>
        </is>
      </c>
      <c r="I475" s="19" t="n"/>
      <c r="J475" s="18">
        <f>IF(TRIM(F475)="","",IF(LEFT(TRIM(F475),2)="RM",IFERROR(IF(D475&gt;=DATE(2026,4,1),INDEX('LP RMH'!$F:$F,MATCH(TRIM(F475),'LP RMH'!$A:$A,0)),INDEX('LP RMH'!$E:$E,MATCH(TRIM(F475),'LP RMH'!$A:$A,0))),0),IFERROR(INDEX('LP MONCAR'!$E:$E,MATCH(TRIM(F475),'LP MONCAR'!$A:$A,0)),0)))</f>
        <v/>
      </c>
      <c r="K475" s="18">
        <f>IF(AND(ISNUMBER(G475),ISNUMBER(J475),G475&gt;0,J475&gt;0),G475*J475,"")</f>
        <v/>
      </c>
      <c r="L475" s="16">
        <f>IF(D475&lt;&gt;"",TEXT(D475,"YYYY-MM"),"")</f>
        <v/>
      </c>
      <c r="M475" s="16" t="n"/>
      <c r="N475" s="18">
        <f>IFERROR(IF(ISNUMBER(G475),G475*VLOOKUP(F475,Costos!$A$4:$E$320,5,0),0),0)</f>
        <v/>
      </c>
      <c r="O475" s="16">
        <f>IF(K475&lt;&gt;"",K475-N475,"")</f>
        <v/>
      </c>
      <c r="P475" s="16">
        <f>IFERROR(VLOOKUP(F475,'LP MONCAR'!$A$4:$C$500,3,0),"")</f>
        <v/>
      </c>
      <c r="Q475" s="16">
        <f>IFERROR(VLOOKUP(H475,Clientes!$A$2:$H$400,2,0),"")</f>
        <v/>
      </c>
      <c r="R475" s="16">
        <f>IFERROR(VLOOKUP(H475,Clientes!$A$2:$H$400,3,0),"")</f>
        <v/>
      </c>
      <c r="S475" s="16">
        <f>IFERROR(VLOOKUP(H475,Clientes!$A$2:$H$400,4,0),"")</f>
        <v/>
      </c>
      <c r="T475" s="16">
        <f>IFERROR(VLOOKUP(H475,Clientes!$A$2:$H$400,5,0),"")</f>
        <v/>
      </c>
      <c r="U475" s="16">
        <f>IFERROR(VLOOKUP(F475,'LP MONCAR'!$A$4:$D$500,4,0),"")</f>
        <v/>
      </c>
    </row>
    <row r="476">
      <c r="A476" s="37" t="n"/>
      <c r="B476" s="16" t="n">
        <v>4002</v>
      </c>
      <c r="C476" s="16" t="inlineStr">
        <is>
          <t>Franco</t>
        </is>
      </c>
      <c r="D476" s="17" t="n">
        <v>46203</v>
      </c>
      <c r="E476" s="16">
        <f>IFERROR(IF(LEFT(F476,2)="RM","RMH","MONCAR"),"")</f>
        <v/>
      </c>
      <c r="F476" s="16" t="inlineStr">
        <is>
          <t>CF 652</t>
        </is>
      </c>
      <c r="G476" s="16" t="n">
        <v>5</v>
      </c>
      <c r="H476" s="16" t="inlineStr">
        <is>
          <t>Adrian Basgall</t>
        </is>
      </c>
      <c r="I476" s="19" t="n"/>
      <c r="J476" s="18">
        <f>IF(TRIM(F476)="","",IF(LEFT(TRIM(F476),2)="RM",IFERROR(IF(D476&gt;=DATE(2026,4,1),INDEX('LP RMH'!$F:$F,MATCH(TRIM(F476),'LP RMH'!$A:$A,0)),INDEX('LP RMH'!$E:$E,MATCH(TRIM(F476),'LP RMH'!$A:$A,0))),0),IFERROR(INDEX('LP MONCAR'!$E:$E,MATCH(TRIM(F476),'LP MONCAR'!$A:$A,0)),0)))</f>
        <v/>
      </c>
      <c r="K476" s="18">
        <f>IF(AND(ISNUMBER(G476),ISNUMBER(J476),G476&gt;0,J476&gt;0),G476*J476,"")</f>
        <v/>
      </c>
      <c r="L476" s="16">
        <f>IF(D476&lt;&gt;"",TEXT(D476,"YYYY-MM"),"")</f>
        <v/>
      </c>
      <c r="M476" s="16" t="n"/>
      <c r="N476" s="18">
        <f>IFERROR(IF(ISNUMBER(G476),G476*VLOOKUP(F476,Costos!$A$4:$E$320,5,0),0),0)</f>
        <v/>
      </c>
      <c r="O476" s="16">
        <f>IF(K476&lt;&gt;"",K476-N476,"")</f>
        <v/>
      </c>
      <c r="P476" s="16">
        <f>IFERROR(VLOOKUP(F476,'LP MONCAR'!$A$4:$C$500,3,0),"")</f>
        <v/>
      </c>
      <c r="Q476" s="16">
        <f>IFERROR(VLOOKUP(H476,Clientes!$A$2:$H$400,2,0),"")</f>
        <v/>
      </c>
      <c r="R476" s="16">
        <f>IFERROR(VLOOKUP(H476,Clientes!$A$2:$H$400,3,0),"")</f>
        <v/>
      </c>
      <c r="S476" s="16">
        <f>IFERROR(VLOOKUP(H476,Clientes!$A$2:$H$400,4,0),"")</f>
        <v/>
      </c>
      <c r="T476" s="16">
        <f>IFERROR(VLOOKUP(H476,Clientes!$A$2:$H$400,5,0),"")</f>
        <v/>
      </c>
      <c r="U476" s="16">
        <f>IFERROR(VLOOKUP(F476,'LP MONCAR'!$A$4:$D$500,4,0),"")</f>
        <v/>
      </c>
    </row>
    <row r="477">
      <c r="A477" s="37" t="n"/>
      <c r="B477" s="16" t="n">
        <v>1951</v>
      </c>
      <c r="C477" s="16" t="inlineStr">
        <is>
          <t>Maxi</t>
        </is>
      </c>
      <c r="D477" s="17" t="n">
        <v>46099</v>
      </c>
      <c r="E477" s="16">
        <f>IFERROR(IF(LEFT(F477,2)="RM","RMH","MONCAR"),"")</f>
        <v/>
      </c>
      <c r="F477" s="16" t="inlineStr">
        <is>
          <t>RM 035</t>
        </is>
      </c>
      <c r="G477" s="16" t="n">
        <v>4</v>
      </c>
      <c r="H477" s="16" t="inlineStr">
        <is>
          <t>JD</t>
        </is>
      </c>
      <c r="I477" s="19" t="n"/>
      <c r="J477" s="18">
        <f>IF(TRIM(F477)="","",IF(LEFT(TRIM(F477),2)="RM",IFERROR(IF(D477&gt;=DATE(2026,4,1),INDEX('LP RMH'!$F:$F,MATCH(TRIM(F477),'LP RMH'!$A:$A,0)),INDEX('LP RMH'!$E:$E,MATCH(TRIM(F477),'LP RMH'!$A:$A,0))),0),IFERROR(INDEX('LP MONCAR'!$E:$E,MATCH(TRIM(F477),'LP MONCAR'!$A:$A,0)),0)))</f>
        <v/>
      </c>
      <c r="K477" s="18">
        <f>IF(AND(ISNUMBER(G477),ISNUMBER(J477),G477&gt;0,J477&gt;0),G477*J477,"")</f>
        <v/>
      </c>
      <c r="L477" s="16">
        <f>IF(D477&lt;&gt;"",TEXT(D477,"YYYY-MM"),"")</f>
        <v/>
      </c>
      <c r="M477" s="16" t="n"/>
      <c r="N477" s="18">
        <f>IFERROR(IF(ISNUMBER(G477),G477*VLOOKUP(F477,Costos!$A$4:$E$320,5,0),0),0)</f>
        <v/>
      </c>
      <c r="O477" s="16">
        <f>IF(K477&lt;&gt;"",K477-N477,"")</f>
        <v/>
      </c>
      <c r="P477" s="16">
        <f>IFERROR(VLOOKUP(F477,'LP MONCAR'!$A$4:$C$500,3,0),"")</f>
        <v/>
      </c>
      <c r="Q477" s="16">
        <f>IFERROR(VLOOKUP(H477,Clientes!$A$2:$H$400,2,0),"")</f>
        <v/>
      </c>
      <c r="R477" s="16">
        <f>IFERROR(VLOOKUP(H477,Clientes!$A$2:$H$400,3,0),"")</f>
        <v/>
      </c>
      <c r="S477" s="16">
        <f>IFERROR(VLOOKUP(H477,Clientes!$A$2:$H$400,4,0),"")</f>
        <v/>
      </c>
      <c r="T477" s="16">
        <f>IFERROR(VLOOKUP(H477,Clientes!$A$2:$H$400,5,0),"")</f>
        <v/>
      </c>
      <c r="U477" s="16">
        <f>IFERROR(VLOOKUP(F477,'LP MONCAR'!$A$4:$D$500,4,0),"")</f>
        <v/>
      </c>
    </row>
    <row r="478">
      <c r="A478" s="37" t="n"/>
      <c r="B478" s="16" t="n">
        <v>1951</v>
      </c>
      <c r="C478" s="16" t="inlineStr">
        <is>
          <t>Maxi</t>
        </is>
      </c>
      <c r="D478" s="17" t="n">
        <v>46099</v>
      </c>
      <c r="E478" s="16">
        <f>IFERROR(IF(LEFT(F478,2)="RM","RMH","MONCAR"),"")</f>
        <v/>
      </c>
      <c r="F478" s="16" t="inlineStr">
        <is>
          <t>RM 101</t>
        </is>
      </c>
      <c r="G478" s="16" t="n">
        <v>1</v>
      </c>
      <c r="H478" s="16" t="inlineStr">
        <is>
          <t>JD</t>
        </is>
      </c>
      <c r="I478" s="19" t="n"/>
      <c r="J478" s="18" t="n">
        <v>17600</v>
      </c>
      <c r="K478" s="18">
        <f>IF(AND(ISNUMBER(G478),ISNUMBER(J478),G478&gt;0,J478&gt;0),G478*J478,"")</f>
        <v/>
      </c>
      <c r="L478" s="16">
        <f>IF(D478&lt;&gt;"",TEXT(D478,"YYYY-MM"),"")</f>
        <v/>
      </c>
      <c r="M478" s="16" t="n"/>
      <c r="N478" s="18">
        <f>IFERROR(IF(ISNUMBER(G478),G478*VLOOKUP(F478,Costos!$A$4:$E$320,5,0),0),0)</f>
        <v/>
      </c>
      <c r="O478" s="16">
        <f>IF(K478&lt;&gt;"",K478-N478,"")</f>
        <v/>
      </c>
      <c r="P478" s="16">
        <f>IFERROR(VLOOKUP(F478,'LP MONCAR'!$A$4:$C$500,3,0),"")</f>
        <v/>
      </c>
      <c r="Q478" s="16">
        <f>IFERROR(VLOOKUP(H478,Clientes!$A$2:$H$400,2,0),"")</f>
        <v/>
      </c>
      <c r="R478" s="16">
        <f>IFERROR(VLOOKUP(H478,Clientes!$A$2:$H$400,3,0),"")</f>
        <v/>
      </c>
      <c r="S478" s="16">
        <f>IFERROR(VLOOKUP(H478,Clientes!$A$2:$H$400,4,0),"")</f>
        <v/>
      </c>
      <c r="T478" s="16">
        <f>IFERROR(VLOOKUP(H478,Clientes!$A$2:$H$400,5,0),"")</f>
        <v/>
      </c>
      <c r="U478" s="16">
        <f>IFERROR(VLOOKUP(F478,'LP MONCAR'!$A$4:$D$500,4,0),"")</f>
        <v/>
      </c>
    </row>
    <row r="479">
      <c r="A479" s="37" t="n"/>
      <c r="B479" s="16" t="n">
        <v>1951</v>
      </c>
      <c r="C479" s="16" t="inlineStr">
        <is>
          <t>Maxi</t>
        </is>
      </c>
      <c r="D479" s="17" t="n">
        <v>46099</v>
      </c>
      <c r="E479" s="16">
        <f>IFERROR(IF(LEFT(F479,2)="RM","RMH","MONCAR"),"")</f>
        <v/>
      </c>
      <c r="F479" s="16" t="inlineStr">
        <is>
          <t>RM 102</t>
        </is>
      </c>
      <c r="G479" s="16" t="n">
        <v>2</v>
      </c>
      <c r="H479" s="16" t="inlineStr">
        <is>
          <t>JD</t>
        </is>
      </c>
      <c r="I479" s="19" t="n"/>
      <c r="J479" s="18" t="n">
        <v>17600</v>
      </c>
      <c r="K479" s="18">
        <f>IF(AND(ISNUMBER(G479),ISNUMBER(J479),G479&gt;0,J479&gt;0),G479*J479,"")</f>
        <v/>
      </c>
      <c r="L479" s="16">
        <f>IF(D479&lt;&gt;"",TEXT(D479,"YYYY-MM"),"")</f>
        <v/>
      </c>
      <c r="M479" s="16" t="n"/>
      <c r="N479" s="18">
        <f>IFERROR(IF(ISNUMBER(G479),G479*VLOOKUP(F479,Costos!$A$4:$E$320,5,0),0),0)</f>
        <v/>
      </c>
      <c r="O479" s="16">
        <f>IF(K479&lt;&gt;"",K479-N479,"")</f>
        <v/>
      </c>
      <c r="P479" s="16">
        <f>IFERROR(VLOOKUP(F479,'LP MONCAR'!$A$4:$C$500,3,0),"")</f>
        <v/>
      </c>
      <c r="Q479" s="16">
        <f>IFERROR(VLOOKUP(H479,Clientes!$A$2:$H$400,2,0),"")</f>
        <v/>
      </c>
      <c r="R479" s="16">
        <f>IFERROR(VLOOKUP(H479,Clientes!$A$2:$H$400,3,0),"")</f>
        <v/>
      </c>
      <c r="S479" s="16">
        <f>IFERROR(VLOOKUP(H479,Clientes!$A$2:$H$400,4,0),"")</f>
        <v/>
      </c>
      <c r="T479" s="16">
        <f>IFERROR(VLOOKUP(H479,Clientes!$A$2:$H$400,5,0),"")</f>
        <v/>
      </c>
      <c r="U479" s="16">
        <f>IFERROR(VLOOKUP(F479,'LP MONCAR'!$A$4:$D$500,4,0),"")</f>
        <v/>
      </c>
    </row>
    <row r="480">
      <c r="A480" s="37" t="n"/>
      <c r="B480" s="16" t="n">
        <v>1952</v>
      </c>
      <c r="C480" s="16" t="inlineStr">
        <is>
          <t>Maxi</t>
        </is>
      </c>
      <c r="D480" s="17" t="n">
        <v>46099</v>
      </c>
      <c r="E480" s="16">
        <f>IFERROR(IF(LEFT(F480,2)="RM","RMH","MONCAR"),"")</f>
        <v/>
      </c>
      <c r="F480" s="16" t="inlineStr">
        <is>
          <t>RM 035</t>
        </is>
      </c>
      <c r="G480" s="16" t="n">
        <v>8</v>
      </c>
      <c r="H480" s="16" t="inlineStr">
        <is>
          <t>TU BULON</t>
        </is>
      </c>
      <c r="I480" s="19" t="n"/>
      <c r="J480" s="18">
        <f>IF(TRIM(F480)="","",IF(LEFT(TRIM(F480),2)="RM",IFERROR(IF(D480&gt;=DATE(2026,4,1),INDEX('LP RMH'!$F:$F,MATCH(TRIM(F480),'LP RMH'!$A:$A,0)),INDEX('LP RMH'!$E:$E,MATCH(TRIM(F480),'LP RMH'!$A:$A,0))),0),IFERROR(INDEX('LP MONCAR'!$E:$E,MATCH(TRIM(F480),'LP MONCAR'!$A:$A,0)),0)))</f>
        <v/>
      </c>
      <c r="K480" s="18">
        <f>IF(AND(ISNUMBER(G480),ISNUMBER(J480),G480&gt;0,J480&gt;0),G480*J480,"")</f>
        <v/>
      </c>
      <c r="L480" s="16">
        <f>IF(D480&lt;&gt;"",TEXT(D480,"YYYY-MM"),"")</f>
        <v/>
      </c>
      <c r="M480" s="16" t="n"/>
      <c r="N480" s="18">
        <f>IFERROR(IF(ISNUMBER(G480),G480*VLOOKUP(F480,Costos!$A$4:$E$320,5,0),0),0)</f>
        <v/>
      </c>
      <c r="O480" s="16">
        <f>IF(K480&lt;&gt;"",K480-N480,"")</f>
        <v/>
      </c>
      <c r="P480" s="16">
        <f>IFERROR(VLOOKUP(F480,'LP MONCAR'!$A$4:$C$500,3,0),"")</f>
        <v/>
      </c>
      <c r="Q480" s="16">
        <f>IFERROR(VLOOKUP(H480,Clientes!$A$2:$H$400,2,0),"")</f>
        <v/>
      </c>
      <c r="R480" s="16">
        <f>IFERROR(VLOOKUP(H480,Clientes!$A$2:$H$400,3,0),"")</f>
        <v/>
      </c>
      <c r="S480" s="16">
        <f>IFERROR(VLOOKUP(H480,Clientes!$A$2:$H$400,4,0),"")</f>
        <v/>
      </c>
      <c r="T480" s="16">
        <f>IFERROR(VLOOKUP(H480,Clientes!$A$2:$H$400,5,0),"")</f>
        <v/>
      </c>
      <c r="U480" s="16">
        <f>IFERROR(VLOOKUP(F480,'LP MONCAR'!$A$4:$D$500,4,0),"")</f>
        <v/>
      </c>
    </row>
    <row r="481">
      <c r="A481" s="37" t="n"/>
      <c r="B481" s="16" t="n">
        <v>1953</v>
      </c>
      <c r="C481" s="16" t="inlineStr">
        <is>
          <t>Maxi</t>
        </is>
      </c>
      <c r="D481" s="17" t="n">
        <v>46100</v>
      </c>
      <c r="E481" s="16">
        <f>IFERROR(IF(LEFT(F481,2)="RM","RMH","MONCAR"),"")</f>
        <v/>
      </c>
      <c r="F481" s="16" t="inlineStr">
        <is>
          <t>RM 023</t>
        </is>
      </c>
      <c r="G481" s="16" t="n">
        <v>10</v>
      </c>
      <c r="H481" s="16" t="inlineStr">
        <is>
          <t>LA ROTONDA</t>
        </is>
      </c>
      <c r="I481" s="19" t="n"/>
      <c r="J481" s="18">
        <f>IF(TRIM(F481)="","",IF(LEFT(TRIM(F481),2)="RM",IFERROR(IF(D481&gt;=DATE(2026,4,1),INDEX('LP RMH'!$F:$F,MATCH(TRIM(F481),'LP RMH'!$A:$A,0)),INDEX('LP RMH'!$E:$E,MATCH(TRIM(F481),'LP RMH'!$A:$A,0))),0),IFERROR(INDEX('LP MONCAR'!$E:$E,MATCH(TRIM(F481),'LP MONCAR'!$A:$A,0)),0)))</f>
        <v/>
      </c>
      <c r="K481" s="18">
        <f>IF(AND(ISNUMBER(G481),ISNUMBER(J481),G481&gt;0,J481&gt;0),G481*J481,"")</f>
        <v/>
      </c>
      <c r="L481" s="16">
        <f>IF(D481&lt;&gt;"",TEXT(D481,"YYYY-MM"),"")</f>
        <v/>
      </c>
      <c r="M481" s="16" t="n"/>
      <c r="N481" s="18">
        <f>IFERROR(IF(ISNUMBER(G481),G481*VLOOKUP(F481,Costos!$A$4:$E$320,5,0),0),0)</f>
        <v/>
      </c>
      <c r="O481" s="16">
        <f>IF(K481&lt;&gt;"",K481-N481,"")</f>
        <v/>
      </c>
      <c r="P481" s="16">
        <f>IFERROR(VLOOKUP(F481,'LP MONCAR'!$A$4:$C$500,3,0),"")</f>
        <v/>
      </c>
      <c r="Q481" s="16">
        <f>IFERROR(VLOOKUP(H481,Clientes!$A$2:$H$400,2,0),"")</f>
        <v/>
      </c>
      <c r="R481" s="16">
        <f>IFERROR(VLOOKUP(H481,Clientes!$A$2:$H$400,3,0),"")</f>
        <v/>
      </c>
      <c r="S481" s="16">
        <f>IFERROR(VLOOKUP(H481,Clientes!$A$2:$H$400,4,0),"")</f>
        <v/>
      </c>
      <c r="T481" s="16">
        <f>IFERROR(VLOOKUP(H481,Clientes!$A$2:$H$400,5,0),"")</f>
        <v/>
      </c>
      <c r="U481" s="16">
        <f>IFERROR(VLOOKUP(F481,'LP MONCAR'!$A$4:$D$500,4,0),"")</f>
        <v/>
      </c>
    </row>
    <row r="482">
      <c r="A482" s="37" t="n"/>
      <c r="B482" s="16" t="n">
        <v>1953</v>
      </c>
      <c r="C482" s="16" t="inlineStr">
        <is>
          <t>Maxi</t>
        </is>
      </c>
      <c r="D482" s="17" t="n">
        <v>46100</v>
      </c>
      <c r="E482" s="16">
        <f>IFERROR(IF(LEFT(F482,2)="RM","RMH","MONCAR"),"")</f>
        <v/>
      </c>
      <c r="F482" s="16" t="inlineStr">
        <is>
          <t>RM 035</t>
        </is>
      </c>
      <c r="G482" s="16" t="n">
        <v>3</v>
      </c>
      <c r="H482" s="16" t="inlineStr">
        <is>
          <t>LA ROTONDA</t>
        </is>
      </c>
      <c r="I482" s="19" t="n"/>
      <c r="J482" s="18">
        <f>IF(TRIM(F482)="","",IF(LEFT(TRIM(F482),2)="RM",IFERROR(IF(D482&gt;=DATE(2026,4,1),INDEX('LP RMH'!$F:$F,MATCH(TRIM(F482),'LP RMH'!$A:$A,0)),INDEX('LP RMH'!$E:$E,MATCH(TRIM(F482),'LP RMH'!$A:$A,0))),0),IFERROR(INDEX('LP MONCAR'!$E:$E,MATCH(TRIM(F482),'LP MONCAR'!$A:$A,0)),0)))</f>
        <v/>
      </c>
      <c r="K482" s="18">
        <f>IF(AND(ISNUMBER(G482),ISNUMBER(J482),G482&gt;0,J482&gt;0),G482*J482,"")</f>
        <v/>
      </c>
      <c r="L482" s="16">
        <f>IF(D482&lt;&gt;"",TEXT(D482,"YYYY-MM"),"")</f>
        <v/>
      </c>
      <c r="M482" s="16" t="n"/>
      <c r="N482" s="18">
        <f>IFERROR(IF(ISNUMBER(G482),G482*VLOOKUP(F482,Costos!$A$4:$E$320,5,0),0),0)</f>
        <v/>
      </c>
      <c r="O482" s="16">
        <f>IF(K482&lt;&gt;"",K482-N482,"")</f>
        <v/>
      </c>
      <c r="P482" s="16">
        <f>IFERROR(VLOOKUP(F482,'LP MONCAR'!$A$4:$C$500,3,0),"")</f>
        <v/>
      </c>
      <c r="Q482" s="16">
        <f>IFERROR(VLOOKUP(H482,Clientes!$A$2:$H$400,2,0),"")</f>
        <v/>
      </c>
      <c r="R482" s="16">
        <f>IFERROR(VLOOKUP(H482,Clientes!$A$2:$H$400,3,0),"")</f>
        <v/>
      </c>
      <c r="S482" s="16">
        <f>IFERROR(VLOOKUP(H482,Clientes!$A$2:$H$400,4,0),"")</f>
        <v/>
      </c>
      <c r="T482" s="16">
        <f>IFERROR(VLOOKUP(H482,Clientes!$A$2:$H$400,5,0),"")</f>
        <v/>
      </c>
      <c r="U482" s="16">
        <f>IFERROR(VLOOKUP(F482,'LP MONCAR'!$A$4:$D$500,4,0),"")</f>
        <v/>
      </c>
    </row>
    <row r="483">
      <c r="A483" s="37" t="n"/>
      <c r="B483" s="16" t="n">
        <v>1954</v>
      </c>
      <c r="C483" s="16" t="inlineStr">
        <is>
          <t>Maxi</t>
        </is>
      </c>
      <c r="D483" s="17" t="n">
        <v>46100</v>
      </c>
      <c r="E483" s="16">
        <f>IFERROR(IF(LEFT(F483,2)="RM","RMH","MONCAR"),"")</f>
        <v/>
      </c>
      <c r="F483" s="16" t="inlineStr">
        <is>
          <t>RM 023</t>
        </is>
      </c>
      <c r="G483" s="16" t="n">
        <v>10</v>
      </c>
      <c r="H483" s="16" t="inlineStr">
        <is>
          <t>GLACIAR</t>
        </is>
      </c>
      <c r="I483" s="19" t="n"/>
      <c r="J483" s="18">
        <f>IF(TRIM(F483)="","",IF(LEFT(TRIM(F483),2)="RM",IFERROR(IF(D483&gt;=DATE(2026,4,1),INDEX('LP RMH'!$F:$F,MATCH(TRIM(F483),'LP RMH'!$A:$A,0)),INDEX('LP RMH'!$E:$E,MATCH(TRIM(F483),'LP RMH'!$A:$A,0))),0),IFERROR(INDEX('LP MONCAR'!$E:$E,MATCH(TRIM(F483),'LP MONCAR'!$A:$A,0)),0)))</f>
        <v/>
      </c>
      <c r="K483" s="18">
        <f>IF(AND(ISNUMBER(G483),ISNUMBER(J483),G483&gt;0,J483&gt;0),G483*J483,"")</f>
        <v/>
      </c>
      <c r="L483" s="16">
        <f>IF(D483&lt;&gt;"",TEXT(D483,"YYYY-MM"),"")</f>
        <v/>
      </c>
      <c r="M483" s="16" t="n"/>
      <c r="N483" s="18">
        <f>IFERROR(IF(ISNUMBER(G483),G483*VLOOKUP(F483,Costos!$A$4:$E$320,5,0),0),0)</f>
        <v/>
      </c>
      <c r="O483" s="16">
        <f>IF(K483&lt;&gt;"",K483-N483,"")</f>
        <v/>
      </c>
      <c r="P483" s="16">
        <f>IFERROR(VLOOKUP(F483,'LP MONCAR'!$A$4:$C$500,3,0),"")</f>
        <v/>
      </c>
      <c r="Q483" s="16">
        <f>IFERROR(VLOOKUP(H483,Clientes!$A$2:$H$400,2,0),"")</f>
        <v/>
      </c>
      <c r="R483" s="16">
        <f>IFERROR(VLOOKUP(H483,Clientes!$A$2:$H$400,3,0),"")</f>
        <v/>
      </c>
      <c r="S483" s="16">
        <f>IFERROR(VLOOKUP(H483,Clientes!$A$2:$H$400,4,0),"")</f>
        <v/>
      </c>
      <c r="T483" s="16">
        <f>IFERROR(VLOOKUP(H483,Clientes!$A$2:$H$400,5,0),"")</f>
        <v/>
      </c>
      <c r="U483" s="16">
        <f>IFERROR(VLOOKUP(F483,'LP MONCAR'!$A$4:$D$500,4,0),"")</f>
        <v/>
      </c>
    </row>
    <row r="484">
      <c r="A484" s="37" t="n"/>
      <c r="B484" s="16" t="n">
        <v>1960</v>
      </c>
      <c r="C484" s="16" t="inlineStr">
        <is>
          <t>Maxi</t>
        </is>
      </c>
      <c r="D484" s="17" t="n">
        <v>46108</v>
      </c>
      <c r="E484" s="16">
        <f>IFERROR(IF(LEFT(F484,2)="RM","RMH","MONCAR"),"")</f>
        <v/>
      </c>
      <c r="F484" s="16" t="inlineStr">
        <is>
          <t>RM 032</t>
        </is>
      </c>
      <c r="G484" s="16" t="n">
        <v>2</v>
      </c>
      <c r="H484" s="16" t="inlineStr">
        <is>
          <t>BURGOS</t>
        </is>
      </c>
      <c r="I484" s="19" t="n"/>
      <c r="J484" s="18">
        <f>IF(TRIM(F484)="","",IF(LEFT(TRIM(F484),2)="RM",IFERROR(IF(D484&gt;=DATE(2026,4,1),INDEX('LP RMH'!$F:$F,MATCH(TRIM(F484),'LP RMH'!$A:$A,0)),INDEX('LP RMH'!$E:$E,MATCH(TRIM(F484),'LP RMH'!$A:$A,0))),0),IFERROR(INDEX('LP MONCAR'!$E:$E,MATCH(TRIM(F484),'LP MONCAR'!$A:$A,0)),0)))</f>
        <v/>
      </c>
      <c r="K484" s="18">
        <f>IF(AND(ISNUMBER(G484),ISNUMBER(J484),G484&gt;0,J484&gt;0),G484*J484,"")</f>
        <v/>
      </c>
      <c r="L484" s="16">
        <f>IF(D484&lt;&gt;"",TEXT(D484,"YYYY-MM"),"")</f>
        <v/>
      </c>
      <c r="M484" s="16" t="n"/>
      <c r="N484" s="18">
        <f>IFERROR(IF(ISNUMBER(G484),G484*VLOOKUP(F484,Costos!$A$4:$E$320,5,0),0),0)</f>
        <v/>
      </c>
      <c r="O484" s="16">
        <f>IF(K484&lt;&gt;"",K484-N484,"")</f>
        <v/>
      </c>
      <c r="P484" s="16">
        <f>IFERROR(VLOOKUP(F484,'LP MONCAR'!$A$4:$C$500,3,0),"")</f>
        <v/>
      </c>
      <c r="Q484" s="16">
        <f>IFERROR(VLOOKUP(H484,Clientes!$A$2:$H$400,2,0),"")</f>
        <v/>
      </c>
      <c r="R484" s="16">
        <f>IFERROR(VLOOKUP(H484,Clientes!$A$2:$H$400,3,0),"")</f>
        <v/>
      </c>
      <c r="S484" s="16">
        <f>IFERROR(VLOOKUP(H484,Clientes!$A$2:$H$400,4,0),"")</f>
        <v/>
      </c>
      <c r="T484" s="16">
        <f>IFERROR(VLOOKUP(H484,Clientes!$A$2:$H$400,5,0),"")</f>
        <v/>
      </c>
      <c r="U484" s="16">
        <f>IFERROR(VLOOKUP(F484,'LP MONCAR'!$A$4:$D$500,4,0),"")</f>
        <v/>
      </c>
    </row>
    <row r="485">
      <c r="A485" s="37" t="n"/>
      <c r="B485" s="16" t="n">
        <v>1960</v>
      </c>
      <c r="C485" s="16" t="inlineStr">
        <is>
          <t>Maxi</t>
        </is>
      </c>
      <c r="D485" s="17" t="n">
        <v>46108</v>
      </c>
      <c r="E485" s="16">
        <f>IFERROR(IF(LEFT(F485,2)="RM","RMH","MONCAR"),"")</f>
        <v/>
      </c>
      <c r="F485" s="16" t="inlineStr">
        <is>
          <t>RM 035</t>
        </is>
      </c>
      <c r="G485" s="16" t="n">
        <v>8</v>
      </c>
      <c r="H485" s="16" t="inlineStr">
        <is>
          <t>BURGOS</t>
        </is>
      </c>
      <c r="I485" s="19" t="n"/>
      <c r="J485" s="18">
        <f>IF(TRIM(F485)="","",IF(LEFT(TRIM(F485),2)="RM",IFERROR(IF(D485&gt;=DATE(2026,4,1),INDEX('LP RMH'!$F:$F,MATCH(TRIM(F485),'LP RMH'!$A:$A,0)),INDEX('LP RMH'!$E:$E,MATCH(TRIM(F485),'LP RMH'!$A:$A,0))),0),IFERROR(INDEX('LP MONCAR'!$E:$E,MATCH(TRIM(F485),'LP MONCAR'!$A:$A,0)),0)))</f>
        <v/>
      </c>
      <c r="K485" s="18">
        <f>IF(AND(ISNUMBER(G485),ISNUMBER(J485),G485&gt;0,J485&gt;0),G485*J485,"")</f>
        <v/>
      </c>
      <c r="L485" s="16">
        <f>IF(D485&lt;&gt;"",TEXT(D485,"YYYY-MM"),"")</f>
        <v/>
      </c>
      <c r="M485" s="16" t="n"/>
      <c r="N485" s="18">
        <f>IFERROR(IF(ISNUMBER(G485),G485*VLOOKUP(F485,Costos!$A$4:$E$320,5,0),0),0)</f>
        <v/>
      </c>
      <c r="O485" s="16">
        <f>IF(K485&lt;&gt;"",K485-N485,"")</f>
        <v/>
      </c>
      <c r="P485" s="16">
        <f>IFERROR(VLOOKUP(F485,'LP MONCAR'!$A$4:$C$500,3,0),"")</f>
        <v/>
      </c>
      <c r="Q485" s="16">
        <f>IFERROR(VLOOKUP(H485,Clientes!$A$2:$H$400,2,0),"")</f>
        <v/>
      </c>
      <c r="R485" s="16">
        <f>IFERROR(VLOOKUP(H485,Clientes!$A$2:$H$400,3,0),"")</f>
        <v/>
      </c>
      <c r="S485" s="16">
        <f>IFERROR(VLOOKUP(H485,Clientes!$A$2:$H$400,4,0),"")</f>
        <v/>
      </c>
      <c r="T485" s="16">
        <f>IFERROR(VLOOKUP(H485,Clientes!$A$2:$H$400,5,0),"")</f>
        <v/>
      </c>
      <c r="U485" s="16">
        <f>IFERROR(VLOOKUP(F485,'LP MONCAR'!$A$4:$D$500,4,0),"")</f>
        <v/>
      </c>
    </row>
    <row r="486">
      <c r="A486" s="37" t="n"/>
      <c r="B486" s="16" t="n">
        <v>1960</v>
      </c>
      <c r="C486" s="16" t="inlineStr">
        <is>
          <t>Maxi</t>
        </is>
      </c>
      <c r="D486" s="17" t="n">
        <v>46108</v>
      </c>
      <c r="E486" s="16">
        <f>IFERROR(IF(LEFT(F486,2)="RM","RMH","MONCAR"),"")</f>
        <v/>
      </c>
      <c r="F486" s="16" t="inlineStr">
        <is>
          <t>RM 409</t>
        </is>
      </c>
      <c r="G486" s="16" t="n">
        <v>1</v>
      </c>
      <c r="H486" s="16" t="inlineStr">
        <is>
          <t>BURGOS</t>
        </is>
      </c>
      <c r="I486" s="19" t="n"/>
      <c r="J486" s="18">
        <f>IF(TRIM(F486)="","",IF(LEFT(TRIM(F486),2)="RM",IFERROR(IF(D486&gt;=DATE(2026,4,1),INDEX('LP RMH'!$F:$F,MATCH(TRIM(F486),'LP RMH'!$A:$A,0)),INDEX('LP RMH'!$E:$E,MATCH(TRIM(F486),'LP RMH'!$A:$A,0))),0),IFERROR(INDEX('LP MONCAR'!$E:$E,MATCH(TRIM(F486),'LP MONCAR'!$A:$A,0)),0)))</f>
        <v/>
      </c>
      <c r="K486" s="18">
        <f>IF(AND(ISNUMBER(G486),ISNUMBER(J486),G486&gt;0,J486&gt;0),G486*J486,"")</f>
        <v/>
      </c>
      <c r="L486" s="16">
        <f>IF(D486&lt;&gt;"",TEXT(D486,"YYYY-MM"),"")</f>
        <v/>
      </c>
      <c r="M486" s="16" t="n"/>
      <c r="N486" s="18">
        <f>IFERROR(IF(ISNUMBER(G486),G486*VLOOKUP(F486,Costos!$A$4:$E$320,5,0),0),0)</f>
        <v/>
      </c>
      <c r="O486" s="16">
        <f>IF(K486&lt;&gt;"",K486-N486,"")</f>
        <v/>
      </c>
      <c r="P486" s="16">
        <f>IFERROR(VLOOKUP(F486,'LP MONCAR'!$A$4:$C$500,3,0),"")</f>
        <v/>
      </c>
      <c r="Q486" s="16">
        <f>IFERROR(VLOOKUP(H486,Clientes!$A$2:$H$400,2,0),"")</f>
        <v/>
      </c>
      <c r="R486" s="16">
        <f>IFERROR(VLOOKUP(H486,Clientes!$A$2:$H$400,3,0),"")</f>
        <v/>
      </c>
      <c r="S486" s="16">
        <f>IFERROR(VLOOKUP(H486,Clientes!$A$2:$H$400,4,0),"")</f>
        <v/>
      </c>
      <c r="T486" s="16">
        <f>IFERROR(VLOOKUP(H486,Clientes!$A$2:$H$400,5,0),"")</f>
        <v/>
      </c>
      <c r="U486" s="16">
        <f>IFERROR(VLOOKUP(F486,'LP MONCAR'!$A$4:$D$500,4,0),"")</f>
        <v/>
      </c>
    </row>
    <row r="487">
      <c r="A487" s="37" t="n"/>
      <c r="B487" s="16" t="n">
        <v>1960</v>
      </c>
      <c r="C487" s="16" t="inlineStr">
        <is>
          <t>Maxi</t>
        </is>
      </c>
      <c r="D487" s="17" t="n">
        <v>46108</v>
      </c>
      <c r="E487" s="16">
        <f>IFERROR(IF(LEFT(F487,2)="RM","RMH","MONCAR"),"")</f>
        <v/>
      </c>
      <c r="F487" s="16" t="inlineStr">
        <is>
          <t>RM 416</t>
        </is>
      </c>
      <c r="G487" s="16" t="n">
        <v>2</v>
      </c>
      <c r="H487" s="16" t="inlineStr">
        <is>
          <t>BURGOS</t>
        </is>
      </c>
      <c r="I487" s="19" t="n"/>
      <c r="J487" s="18">
        <f>IF(TRIM(F487)="","",IF(LEFT(TRIM(F487),2)="RM",IFERROR(IF(D487&gt;=DATE(2026,4,1),INDEX('LP RMH'!$F:$F,MATCH(TRIM(F487),'LP RMH'!$A:$A,0)),INDEX('LP RMH'!$E:$E,MATCH(TRIM(F487),'LP RMH'!$A:$A,0))),0),IFERROR(INDEX('LP MONCAR'!$E:$E,MATCH(TRIM(F487),'LP MONCAR'!$A:$A,0)),0)))</f>
        <v/>
      </c>
      <c r="K487" s="18">
        <f>IF(AND(ISNUMBER(G487),ISNUMBER(J487),G487&gt;0,J487&gt;0),G487*J487,"")</f>
        <v/>
      </c>
      <c r="L487" s="16">
        <f>IF(D487&lt;&gt;"",TEXT(D487,"YYYY-MM"),"")</f>
        <v/>
      </c>
      <c r="M487" s="16" t="n"/>
      <c r="N487" s="18">
        <f>IFERROR(IF(ISNUMBER(G487),G487*VLOOKUP(F487,Costos!$A$4:$E$320,5,0),0),0)</f>
        <v/>
      </c>
      <c r="O487" s="16">
        <f>IF(K487&lt;&gt;"",K487-N487,"")</f>
        <v/>
      </c>
      <c r="P487" s="16">
        <f>IFERROR(VLOOKUP(F487,'LP MONCAR'!$A$4:$C$500,3,0),"")</f>
        <v/>
      </c>
      <c r="Q487" s="16">
        <f>IFERROR(VLOOKUP(H487,Clientes!$A$2:$H$400,2,0),"")</f>
        <v/>
      </c>
      <c r="R487" s="16">
        <f>IFERROR(VLOOKUP(H487,Clientes!$A$2:$H$400,3,0),"")</f>
        <v/>
      </c>
      <c r="S487" s="16">
        <f>IFERROR(VLOOKUP(H487,Clientes!$A$2:$H$400,4,0),"")</f>
        <v/>
      </c>
      <c r="T487" s="16">
        <f>IFERROR(VLOOKUP(H487,Clientes!$A$2:$H$400,5,0),"")</f>
        <v/>
      </c>
      <c r="U487" s="16">
        <f>IFERROR(VLOOKUP(F487,'LP MONCAR'!$A$4:$D$500,4,0),"")</f>
        <v/>
      </c>
    </row>
    <row r="488">
      <c r="A488" s="37" t="n"/>
      <c r="B488" s="16" t="n">
        <v>1960</v>
      </c>
      <c r="C488" s="16" t="inlineStr">
        <is>
          <t>Maxi</t>
        </is>
      </c>
      <c r="D488" s="17" t="n">
        <v>46108</v>
      </c>
      <c r="E488" s="16">
        <f>IFERROR(IF(LEFT(F488,2)="RM","RMH","MONCAR"),"")</f>
        <v/>
      </c>
      <c r="F488" s="16" t="inlineStr">
        <is>
          <t>RM 714</t>
        </is>
      </c>
      <c r="G488" s="16" t="n">
        <v>1</v>
      </c>
      <c r="H488" s="16" t="inlineStr">
        <is>
          <t>BURGOS</t>
        </is>
      </c>
      <c r="I488" s="19" t="n"/>
      <c r="J488" s="18">
        <f>IF(TRIM(F488)="","",IF(LEFT(TRIM(F488),2)="RM",IFERROR(IF(D488&gt;=DATE(2026,4,1),INDEX('LP RMH'!$F:$F,MATCH(TRIM(F488),'LP RMH'!$A:$A,0)),INDEX('LP RMH'!$E:$E,MATCH(TRIM(F488),'LP RMH'!$A:$A,0))),0),IFERROR(INDEX('LP MONCAR'!$E:$E,MATCH(TRIM(F488),'LP MONCAR'!$A:$A,0)),0)))</f>
        <v/>
      </c>
      <c r="K488" s="18">
        <f>IF(AND(ISNUMBER(G488),ISNUMBER(J488),G488&gt;0,J488&gt;0),G488*J488,"")</f>
        <v/>
      </c>
      <c r="L488" s="16">
        <f>IF(D488&lt;&gt;"",TEXT(D488,"YYYY-MM"),"")</f>
        <v/>
      </c>
      <c r="M488" s="16" t="n"/>
      <c r="N488" s="18">
        <f>IFERROR(IF(ISNUMBER(G488),G488*VLOOKUP(F488,Costos!$A$4:$E$320,5,0),0),0)</f>
        <v/>
      </c>
      <c r="O488" s="16">
        <f>IF(K488&lt;&gt;"",K488-N488,"")</f>
        <v/>
      </c>
      <c r="P488" s="16">
        <f>IFERROR(VLOOKUP(F488,'LP MONCAR'!$A$4:$C$500,3,0),"")</f>
        <v/>
      </c>
      <c r="Q488" s="16">
        <f>IFERROR(VLOOKUP(H488,Clientes!$A$2:$H$400,2,0),"")</f>
        <v/>
      </c>
      <c r="R488" s="16">
        <f>IFERROR(VLOOKUP(H488,Clientes!$A$2:$H$400,3,0),"")</f>
        <v/>
      </c>
      <c r="S488" s="16">
        <f>IFERROR(VLOOKUP(H488,Clientes!$A$2:$H$400,4,0),"")</f>
        <v/>
      </c>
      <c r="T488" s="16">
        <f>IFERROR(VLOOKUP(H488,Clientes!$A$2:$H$400,5,0),"")</f>
        <v/>
      </c>
      <c r="U488" s="16">
        <f>IFERROR(VLOOKUP(F488,'LP MONCAR'!$A$4:$D$500,4,0),"")</f>
        <v/>
      </c>
    </row>
    <row r="489">
      <c r="A489" s="37" t="n"/>
      <c r="B489" s="16" t="n">
        <v>1961</v>
      </c>
      <c r="C489" s="16" t="inlineStr">
        <is>
          <t>Maxi</t>
        </is>
      </c>
      <c r="D489" s="17" t="n">
        <v>46108</v>
      </c>
      <c r="E489" s="16">
        <f>IFERROR(IF(LEFT(F489,2)="RM","RMH","MONCAR"),"")</f>
        <v/>
      </c>
      <c r="F489" s="16" t="inlineStr">
        <is>
          <t>RM 035</t>
        </is>
      </c>
      <c r="G489" s="16" t="n">
        <v>10</v>
      </c>
      <c r="H489" s="16" t="inlineStr">
        <is>
          <t>ELECTRO SERVICE</t>
        </is>
      </c>
      <c r="I489" s="19" t="n"/>
      <c r="J489" s="18">
        <f>IF(TRIM(F489)="","",IF(LEFT(TRIM(F489),2)="RM",IFERROR(IF(D489&gt;=DATE(2026,4,1),INDEX('LP RMH'!$F:$F,MATCH(TRIM(F489),'LP RMH'!$A:$A,0)),INDEX('LP RMH'!$E:$E,MATCH(TRIM(F489),'LP RMH'!$A:$A,0))),0),IFERROR(INDEX('LP MONCAR'!$E:$E,MATCH(TRIM(F489),'LP MONCAR'!$A:$A,0)),0)))</f>
        <v/>
      </c>
      <c r="K489" s="18">
        <f>IF(AND(ISNUMBER(G489),ISNUMBER(J489),G489&gt;0,J489&gt;0),G489*J489,"")</f>
        <v/>
      </c>
      <c r="L489" s="16">
        <f>IF(D489&lt;&gt;"",TEXT(D489,"YYYY-MM"),"")</f>
        <v/>
      </c>
      <c r="M489" s="16" t="n"/>
      <c r="N489" s="18">
        <f>IFERROR(IF(ISNUMBER(G489),G489*VLOOKUP(F489,Costos!$A$4:$E$320,5,0),0),0)</f>
        <v/>
      </c>
      <c r="O489" s="16">
        <f>IF(K489&lt;&gt;"",K489-N489,"")</f>
        <v/>
      </c>
      <c r="P489" s="16">
        <f>IFERROR(VLOOKUP(F489,'LP MONCAR'!$A$4:$C$500,3,0),"")</f>
        <v/>
      </c>
      <c r="Q489" s="16">
        <f>IFERROR(VLOOKUP(H489,Clientes!$A$2:$H$400,2,0),"")</f>
        <v/>
      </c>
      <c r="R489" s="16">
        <f>IFERROR(VLOOKUP(H489,Clientes!$A$2:$H$400,3,0),"")</f>
        <v/>
      </c>
      <c r="S489" s="16">
        <f>IFERROR(VLOOKUP(H489,Clientes!$A$2:$H$400,4,0),"")</f>
        <v/>
      </c>
      <c r="T489" s="16">
        <f>IFERROR(VLOOKUP(H489,Clientes!$A$2:$H$400,5,0),"")</f>
        <v/>
      </c>
      <c r="U489" s="16">
        <f>IFERROR(VLOOKUP(F489,'LP MONCAR'!$A$4:$D$500,4,0),"")</f>
        <v/>
      </c>
    </row>
    <row r="490">
      <c r="A490" s="37" t="n"/>
      <c r="B490" s="16" t="n">
        <v>1961</v>
      </c>
      <c r="C490" s="16" t="inlineStr">
        <is>
          <t>Maxi</t>
        </is>
      </c>
      <c r="D490" s="17" t="n">
        <v>46108</v>
      </c>
      <c r="E490" s="16">
        <f>IFERROR(IF(LEFT(F490,2)="RM","RMH","MONCAR"),"")</f>
        <v/>
      </c>
      <c r="F490" s="16" t="inlineStr">
        <is>
          <t>RM 040</t>
        </is>
      </c>
      <c r="G490" s="16" t="n">
        <v>2</v>
      </c>
      <c r="H490" s="16" t="inlineStr">
        <is>
          <t>ELECTRO SERVICE</t>
        </is>
      </c>
      <c r="I490" s="19" t="n"/>
      <c r="J490" s="18">
        <f>IF(TRIM(F490)="","",IF(LEFT(TRIM(F490),2)="RM",IFERROR(IF(D490&gt;=DATE(2026,4,1),INDEX('LP RMH'!$F:$F,MATCH(TRIM(F490),'LP RMH'!$A:$A,0)),INDEX('LP RMH'!$E:$E,MATCH(TRIM(F490),'LP RMH'!$A:$A,0))),0),IFERROR(INDEX('LP MONCAR'!$E:$E,MATCH(TRIM(F490),'LP MONCAR'!$A:$A,0)),0)))</f>
        <v/>
      </c>
      <c r="K490" s="18">
        <f>IF(AND(ISNUMBER(G490),ISNUMBER(J490),G490&gt;0,J490&gt;0),G490*J490,"")</f>
        <v/>
      </c>
      <c r="L490" s="16">
        <f>IF(D490&lt;&gt;"",TEXT(D490,"YYYY-MM"),"")</f>
        <v/>
      </c>
      <c r="M490" s="16" t="n"/>
      <c r="N490" s="18">
        <f>IFERROR(IF(ISNUMBER(G490),G490*VLOOKUP(F490,Costos!$A$4:$E$320,5,0),0),0)</f>
        <v/>
      </c>
      <c r="O490" s="16">
        <f>IF(K490&lt;&gt;"",K490-N490,"")</f>
        <v/>
      </c>
      <c r="P490" s="16">
        <f>IFERROR(VLOOKUP(F490,'LP MONCAR'!$A$4:$C$500,3,0),"")</f>
        <v/>
      </c>
      <c r="Q490" s="16">
        <f>IFERROR(VLOOKUP(H490,Clientes!$A$2:$H$400,2,0),"")</f>
        <v/>
      </c>
      <c r="R490" s="16">
        <f>IFERROR(VLOOKUP(H490,Clientes!$A$2:$H$400,3,0),"")</f>
        <v/>
      </c>
      <c r="S490" s="16">
        <f>IFERROR(VLOOKUP(H490,Clientes!$A$2:$H$400,4,0),"")</f>
        <v/>
      </c>
      <c r="T490" s="16">
        <f>IFERROR(VLOOKUP(H490,Clientes!$A$2:$H$400,5,0),"")</f>
        <v/>
      </c>
      <c r="U490" s="16">
        <f>IFERROR(VLOOKUP(F490,'LP MONCAR'!$A$4:$D$500,4,0),"")</f>
        <v/>
      </c>
    </row>
    <row r="491">
      <c r="A491" s="37" t="n"/>
      <c r="B491" s="16" t="n">
        <v>1961</v>
      </c>
      <c r="C491" s="16" t="inlineStr">
        <is>
          <t>Maxi</t>
        </is>
      </c>
      <c r="D491" s="17" t="n">
        <v>46108</v>
      </c>
      <c r="E491" s="16">
        <f>IFERROR(IF(LEFT(F491,2)="RM","RMH","MONCAR"),"")</f>
        <v/>
      </c>
      <c r="F491" s="16" t="inlineStr">
        <is>
          <t>RM 416</t>
        </is>
      </c>
      <c r="G491" s="16" t="n">
        <v>2</v>
      </c>
      <c r="H491" s="16" t="inlineStr">
        <is>
          <t>ELECTRO SERVICE</t>
        </is>
      </c>
      <c r="I491" s="19" t="n"/>
      <c r="J491" s="18">
        <f>IF(TRIM(F491)="","",IF(LEFT(TRIM(F491),2)="RM",IFERROR(IF(D491&gt;=DATE(2026,4,1),INDEX('LP RMH'!$F:$F,MATCH(TRIM(F491),'LP RMH'!$A:$A,0)),INDEX('LP RMH'!$E:$E,MATCH(TRIM(F491),'LP RMH'!$A:$A,0))),0),IFERROR(INDEX('LP MONCAR'!$E:$E,MATCH(TRIM(F491),'LP MONCAR'!$A:$A,0)),0)))</f>
        <v/>
      </c>
      <c r="K491" s="18">
        <f>IF(AND(ISNUMBER(G491),ISNUMBER(J491),G491&gt;0,J491&gt;0),G491*J491,"")</f>
        <v/>
      </c>
      <c r="L491" s="16">
        <f>IF(D491&lt;&gt;"",TEXT(D491,"YYYY-MM"),"")</f>
        <v/>
      </c>
      <c r="M491" s="16" t="n"/>
      <c r="N491" s="18">
        <f>IFERROR(IF(ISNUMBER(G491),G491*VLOOKUP(F491,Costos!$A$4:$E$320,5,0),0),0)</f>
        <v/>
      </c>
      <c r="O491" s="16">
        <f>IF(K491&lt;&gt;"",K491-N491,"")</f>
        <v/>
      </c>
      <c r="P491" s="16">
        <f>IFERROR(VLOOKUP(F491,'LP MONCAR'!$A$4:$C$500,3,0),"")</f>
        <v/>
      </c>
      <c r="Q491" s="16">
        <f>IFERROR(VLOOKUP(H491,Clientes!$A$2:$H$400,2,0),"")</f>
        <v/>
      </c>
      <c r="R491" s="16">
        <f>IFERROR(VLOOKUP(H491,Clientes!$A$2:$H$400,3,0),"")</f>
        <v/>
      </c>
      <c r="S491" s="16">
        <f>IFERROR(VLOOKUP(H491,Clientes!$A$2:$H$400,4,0),"")</f>
        <v/>
      </c>
      <c r="T491" s="16">
        <f>IFERROR(VLOOKUP(H491,Clientes!$A$2:$H$400,5,0),"")</f>
        <v/>
      </c>
      <c r="U491" s="16">
        <f>IFERROR(VLOOKUP(F491,'LP MONCAR'!$A$4:$D$500,4,0),"")</f>
        <v/>
      </c>
    </row>
    <row r="492">
      <c r="A492" s="37" t="n"/>
      <c r="B492" s="16" t="n">
        <v>1961</v>
      </c>
      <c r="C492" s="16" t="inlineStr">
        <is>
          <t>Maxi</t>
        </is>
      </c>
      <c r="D492" s="17" t="n">
        <v>46108</v>
      </c>
      <c r="E492" s="16">
        <f>IFERROR(IF(LEFT(F492,2)="RM","RMH","MONCAR"),"")</f>
        <v/>
      </c>
      <c r="F492" s="16" t="inlineStr">
        <is>
          <t>RM 714</t>
        </is>
      </c>
      <c r="G492" s="16" t="n">
        <v>2</v>
      </c>
      <c r="H492" s="16" t="inlineStr">
        <is>
          <t>ELECTRO SERVICE</t>
        </is>
      </c>
      <c r="I492" s="19" t="n"/>
      <c r="J492" s="18">
        <f>IF(TRIM(F492)="","",IF(LEFT(TRIM(F492),2)="RM",IFERROR(IF(D492&gt;=DATE(2026,4,1),INDEX('LP RMH'!$F:$F,MATCH(TRIM(F492),'LP RMH'!$A:$A,0)),INDEX('LP RMH'!$E:$E,MATCH(TRIM(F492),'LP RMH'!$A:$A,0))),0),IFERROR(INDEX('LP MONCAR'!$E:$E,MATCH(TRIM(F492),'LP MONCAR'!$A:$A,0)),0)))</f>
        <v/>
      </c>
      <c r="K492" s="18">
        <f>IF(AND(ISNUMBER(G492),ISNUMBER(J492),G492&gt;0,J492&gt;0),G492*J492,"")</f>
        <v/>
      </c>
      <c r="L492" s="16">
        <f>IF(D492&lt;&gt;"",TEXT(D492,"YYYY-MM"),"")</f>
        <v/>
      </c>
      <c r="M492" s="16" t="n"/>
      <c r="N492" s="18">
        <f>IFERROR(IF(ISNUMBER(G492),G492*VLOOKUP(F492,Costos!$A$4:$E$320,5,0),0),0)</f>
        <v/>
      </c>
      <c r="O492" s="16">
        <f>IF(K492&lt;&gt;"",K492-N492,"")</f>
        <v/>
      </c>
      <c r="P492" s="16">
        <f>IFERROR(VLOOKUP(F492,'LP MONCAR'!$A$4:$C$500,3,0),"")</f>
        <v/>
      </c>
      <c r="Q492" s="16">
        <f>IFERROR(VLOOKUP(H492,Clientes!$A$2:$H$400,2,0),"")</f>
        <v/>
      </c>
      <c r="R492" s="16">
        <f>IFERROR(VLOOKUP(H492,Clientes!$A$2:$H$400,3,0),"")</f>
        <v/>
      </c>
      <c r="S492" s="16">
        <f>IFERROR(VLOOKUP(H492,Clientes!$A$2:$H$400,4,0),"")</f>
        <v/>
      </c>
      <c r="T492" s="16">
        <f>IFERROR(VLOOKUP(H492,Clientes!$A$2:$H$400,5,0),"")</f>
        <v/>
      </c>
      <c r="U492" s="16">
        <f>IFERROR(VLOOKUP(F492,'LP MONCAR'!$A$4:$D$500,4,0),"")</f>
        <v/>
      </c>
    </row>
    <row r="493">
      <c r="A493" s="37" t="n"/>
      <c r="B493" s="16" t="n">
        <v>1962</v>
      </c>
      <c r="C493" s="16" t="inlineStr">
        <is>
          <t>Maxi</t>
        </is>
      </c>
      <c r="D493" s="17" t="n">
        <v>46107</v>
      </c>
      <c r="E493" s="16">
        <f>IFERROR(IF(LEFT(F493,2)="RM","RMH","MONCAR"),"")</f>
        <v/>
      </c>
      <c r="F493" s="16" t="inlineStr">
        <is>
          <t>RM 023</t>
        </is>
      </c>
      <c r="G493" s="16" t="n">
        <v>10</v>
      </c>
      <c r="H493" s="16" t="inlineStr">
        <is>
          <t>ELECTRO DIAMANTE</t>
        </is>
      </c>
      <c r="I493" s="19" t="n"/>
      <c r="J493" s="18">
        <f>IF(TRIM(F493)="","",IF(LEFT(TRIM(F493),2)="RM",IFERROR(IF(D493&gt;=DATE(2026,4,1),INDEX('LP RMH'!$F:$F,MATCH(TRIM(F493),'LP RMH'!$A:$A,0)),INDEX('LP RMH'!$E:$E,MATCH(TRIM(F493),'LP RMH'!$A:$A,0))),0),IFERROR(INDEX('LP MONCAR'!$E:$E,MATCH(TRIM(F493),'LP MONCAR'!$A:$A,0)),0)))</f>
        <v/>
      </c>
      <c r="K493" s="18">
        <f>IF(AND(ISNUMBER(G493),ISNUMBER(J493),G493&gt;0,J493&gt;0),G493*J493,"")</f>
        <v/>
      </c>
      <c r="L493" s="16">
        <f>IF(D493&lt;&gt;"",TEXT(D493,"YYYY-MM"),"")</f>
        <v/>
      </c>
      <c r="M493" s="16" t="n"/>
      <c r="N493" s="18">
        <f>IFERROR(IF(ISNUMBER(G493),G493*VLOOKUP(F493,Costos!$A$4:$E$320,5,0),0),0)</f>
        <v/>
      </c>
      <c r="O493" s="16">
        <f>IF(K493&lt;&gt;"",K493-N493,"")</f>
        <v/>
      </c>
      <c r="P493" s="16">
        <f>IFERROR(VLOOKUP(F493,'LP MONCAR'!$A$4:$C$500,3,0),"")</f>
        <v/>
      </c>
      <c r="Q493" s="16">
        <f>IFERROR(VLOOKUP(H493,Clientes!$A$2:$H$400,2,0),"")</f>
        <v/>
      </c>
      <c r="R493" s="16">
        <f>IFERROR(VLOOKUP(H493,Clientes!$A$2:$H$400,3,0),"")</f>
        <v/>
      </c>
      <c r="S493" s="16">
        <f>IFERROR(VLOOKUP(H493,Clientes!$A$2:$H$400,4,0),"")</f>
        <v/>
      </c>
      <c r="T493" s="16">
        <f>IFERROR(VLOOKUP(H493,Clientes!$A$2:$H$400,5,0),"")</f>
        <v/>
      </c>
      <c r="U493" s="16">
        <f>IFERROR(VLOOKUP(F493,'LP MONCAR'!$A$4:$D$500,4,0),"")</f>
        <v/>
      </c>
    </row>
    <row r="494">
      <c r="A494" s="37" t="n"/>
      <c r="B494" s="16" t="n"/>
      <c r="C494" s="16" t="n"/>
      <c r="D494" s="17" t="n"/>
      <c r="E494" s="16">
        <f>IFERROR(IF(LEFT(F494,2)="RM","RMH","MONCAR"),"")</f>
        <v/>
      </c>
      <c r="F494" s="16" t="n"/>
      <c r="G494" s="16" t="n"/>
      <c r="H494" s="16" t="n"/>
      <c r="I494" s="19" t="n"/>
      <c r="J494" s="18">
        <f>IF(TRIM(F494)="","",IF(LEFT(TRIM(F494),2)="RM",IFERROR(IF(D494&gt;=DATE(2026,4,1),INDEX('LP RMH'!$F:$F,MATCH(TRIM(F494),'LP RMH'!$A:$A,0)),INDEX('LP RMH'!$E:$E,MATCH(TRIM(F494),'LP RMH'!$A:$A,0))),0),IFERROR(INDEX('LP MONCAR'!$E:$E,MATCH(TRIM(F494),'LP MONCAR'!$A:$A,0)),0)))</f>
        <v/>
      </c>
      <c r="K494" s="18">
        <f>IF(AND(ISNUMBER(G494),ISNUMBER(J494),G494&gt;0,J494&gt;0),G494*J494,"")</f>
        <v/>
      </c>
      <c r="L494" s="16">
        <f>IF(D494&lt;&gt;"",TEXT(D494,"YYYY-MM"),"")</f>
        <v/>
      </c>
      <c r="M494" s="16" t="n"/>
      <c r="N494" s="18">
        <f>IFERROR(IF(ISNUMBER(G494),G494*VLOOKUP(F494,Costos!$A$4:$E$320,5,0),0),0)</f>
        <v/>
      </c>
      <c r="O494" s="16">
        <f>IF(K494&lt;&gt;"",K494-N494,"")</f>
        <v/>
      </c>
      <c r="P494" s="16">
        <f>IFERROR(VLOOKUP(F494,'LP MONCAR'!$A$4:$C$500,3,0),"")</f>
        <v/>
      </c>
      <c r="Q494" s="16">
        <f>IFERROR(VLOOKUP(H494,Clientes!$A$2:$H$400,2,0),"")</f>
        <v/>
      </c>
      <c r="R494" s="16">
        <f>IFERROR(VLOOKUP(H494,Clientes!$A$2:$H$400,3,0),"")</f>
        <v/>
      </c>
      <c r="S494" s="16">
        <f>IFERROR(VLOOKUP(H494,Clientes!$A$2:$H$400,4,0),"")</f>
        <v/>
      </c>
      <c r="T494" s="16">
        <f>IFERROR(VLOOKUP(H494,Clientes!$A$2:$H$400,5,0),"")</f>
        <v/>
      </c>
      <c r="U494" s="16">
        <f>IFERROR(VLOOKUP(F494,'LP MONCAR'!$A$4:$D$500,4,0),"")</f>
        <v/>
      </c>
    </row>
    <row r="495">
      <c r="A495" s="37" t="n"/>
      <c r="B495" s="16" t="n"/>
      <c r="C495" s="16" t="n"/>
      <c r="D495" s="17" t="n"/>
      <c r="E495" s="16">
        <f>IFERROR(IF(LEFT(F495,2)="RM","RMH","MONCAR"),"")</f>
        <v/>
      </c>
      <c r="F495" s="16" t="n"/>
      <c r="G495" s="16" t="n"/>
      <c r="H495" s="16" t="n"/>
      <c r="I495" s="19" t="n"/>
      <c r="J495" s="18">
        <f>IF(TRIM(F495)="","",IF(LEFT(TRIM(F495),2)="RM",IFERROR(IF(D495&gt;=DATE(2026,4,1),INDEX('LP RMH'!$F:$F,MATCH(TRIM(F495),'LP RMH'!$A:$A,0)),INDEX('LP RMH'!$E:$E,MATCH(TRIM(F495),'LP RMH'!$A:$A,0))),0),IFERROR(INDEX('LP MONCAR'!$E:$E,MATCH(TRIM(F495),'LP MONCAR'!$A:$A,0)),0)))</f>
        <v/>
      </c>
      <c r="K495" s="18">
        <f>IF(AND(ISNUMBER(G495),ISNUMBER(J495),G495&gt;0,J495&gt;0),G495*J495,"")</f>
        <v/>
      </c>
      <c r="L495" s="16">
        <f>IF(D495&lt;&gt;"",TEXT(D495,"YYYY-MM"),"")</f>
        <v/>
      </c>
      <c r="M495" s="16" t="n"/>
      <c r="N495" s="18">
        <f>IFERROR(IF(ISNUMBER(G495),G495*VLOOKUP(F495,Costos!$A$4:$E$320,5,0),0),0)</f>
        <v/>
      </c>
      <c r="O495" s="16">
        <f>IF(K495&lt;&gt;"",K495-N495,"")</f>
        <v/>
      </c>
      <c r="P495" s="16">
        <f>IFERROR(VLOOKUP(F495,'LP MONCAR'!$A$4:$C$500,3,0),"")</f>
        <v/>
      </c>
      <c r="Q495" s="16">
        <f>IFERROR(VLOOKUP(H495,Clientes!$A$2:$H$400,2,0),"")</f>
        <v/>
      </c>
      <c r="R495" s="16">
        <f>IFERROR(VLOOKUP(H495,Clientes!$A$2:$H$400,3,0),"")</f>
        <v/>
      </c>
      <c r="S495" s="16">
        <f>IFERROR(VLOOKUP(H495,Clientes!$A$2:$H$400,4,0),"")</f>
        <v/>
      </c>
      <c r="T495" s="16">
        <f>IFERROR(VLOOKUP(H495,Clientes!$A$2:$H$400,5,0),"")</f>
        <v/>
      </c>
      <c r="U495" s="16">
        <f>IFERROR(VLOOKUP(F495,'LP MONCAR'!$A$4:$D$500,4,0),"")</f>
        <v/>
      </c>
    </row>
    <row r="496">
      <c r="A496" s="37" t="n"/>
      <c r="B496" s="16" t="n"/>
      <c r="C496" s="16" t="n"/>
      <c r="D496" s="17" t="n"/>
      <c r="E496" s="16">
        <f>IFERROR(IF(LEFT(F496,2)="RM","RMH","MONCAR"),"")</f>
        <v/>
      </c>
      <c r="F496" s="16" t="n"/>
      <c r="G496" s="16" t="n"/>
      <c r="H496" s="16" t="n"/>
      <c r="I496" s="19" t="n"/>
      <c r="J496" s="18">
        <f>IF(TRIM(F496)="","",IF(LEFT(TRIM(F496),2)="RM",IFERROR(IF(D496&gt;=DATE(2026,4,1),INDEX('LP RMH'!$F:$F,MATCH(TRIM(F496),'LP RMH'!$A:$A,0)),INDEX('LP RMH'!$E:$E,MATCH(TRIM(F496),'LP RMH'!$A:$A,0))),0),IFERROR(INDEX('LP MONCAR'!$E:$E,MATCH(TRIM(F496),'LP MONCAR'!$A:$A,0)),0)))</f>
        <v/>
      </c>
      <c r="K496" s="18">
        <f>IF(AND(ISNUMBER(G496),ISNUMBER(J496),G496&gt;0,J496&gt;0),G496*J496,"")</f>
        <v/>
      </c>
      <c r="L496" s="16">
        <f>IF(D496&lt;&gt;"",TEXT(D496,"YYYY-MM"),"")</f>
        <v/>
      </c>
      <c r="M496" s="16" t="n"/>
      <c r="N496" s="18">
        <f>IFERROR(IF(ISNUMBER(G496),G496*VLOOKUP(F496,Costos!$A$4:$E$320,5,0),0),0)</f>
        <v/>
      </c>
      <c r="O496" s="16">
        <f>IF(K496&lt;&gt;"",K496-N496,"")</f>
        <v/>
      </c>
      <c r="P496" s="16">
        <f>IFERROR(VLOOKUP(F496,'LP MONCAR'!$A$4:$C$500,3,0),"")</f>
        <v/>
      </c>
      <c r="Q496" s="16">
        <f>IFERROR(VLOOKUP(H496,Clientes!$A$2:$H$400,2,0),"")</f>
        <v/>
      </c>
      <c r="R496" s="16">
        <f>IFERROR(VLOOKUP(H496,Clientes!$A$2:$H$400,3,0),"")</f>
        <v/>
      </c>
      <c r="S496" s="16">
        <f>IFERROR(VLOOKUP(H496,Clientes!$A$2:$H$400,4,0),"")</f>
        <v/>
      </c>
      <c r="T496" s="16">
        <f>IFERROR(VLOOKUP(H496,Clientes!$A$2:$H$400,5,0),"")</f>
        <v/>
      </c>
      <c r="U496" s="16">
        <f>IFERROR(VLOOKUP(F496,'LP MONCAR'!$A$4:$D$500,4,0),"")</f>
        <v/>
      </c>
    </row>
    <row r="497">
      <c r="A497" s="37" t="n"/>
      <c r="B497" s="16" t="n"/>
      <c r="C497" s="16" t="n"/>
      <c r="D497" s="17" t="n"/>
      <c r="E497" s="16">
        <f>IFERROR(IF(LEFT(F497,2)="RM","RMH","MONCAR"),"")</f>
        <v/>
      </c>
      <c r="F497" s="16" t="n"/>
      <c r="G497" s="16" t="n"/>
      <c r="H497" s="16" t="n"/>
      <c r="I497" s="19" t="n"/>
      <c r="J497" s="18">
        <f>IF(TRIM(F497)="","",IF(LEFT(TRIM(F497),2)="RM",IFERROR(IF(D497&gt;=DATE(2026,4,1),INDEX('LP RMH'!$F:$F,MATCH(TRIM(F497),'LP RMH'!$A:$A,0)),INDEX('LP RMH'!$E:$E,MATCH(TRIM(F497),'LP RMH'!$A:$A,0))),0),IFERROR(INDEX('LP MONCAR'!$E:$E,MATCH(TRIM(F497),'LP MONCAR'!$A:$A,0)),0)))</f>
        <v/>
      </c>
      <c r="K497" s="18">
        <f>IF(AND(ISNUMBER(G497),ISNUMBER(J497),G497&gt;0,J497&gt;0),G497*J497,"")</f>
        <v/>
      </c>
      <c r="L497" s="16">
        <f>IF(D497&lt;&gt;"",TEXT(D497,"YYYY-MM"),"")</f>
        <v/>
      </c>
      <c r="M497" s="16" t="n"/>
      <c r="N497" s="18">
        <f>IFERROR(IF(ISNUMBER(G497),G497*VLOOKUP(F497,Costos!$A$4:$E$320,5,0),0),0)</f>
        <v/>
      </c>
      <c r="O497" s="16">
        <f>IF(K497&lt;&gt;"",K497-N497,"")</f>
        <v/>
      </c>
      <c r="P497" s="16">
        <f>IFERROR(VLOOKUP(F497,'LP MONCAR'!$A$4:$C$500,3,0),"")</f>
        <v/>
      </c>
      <c r="Q497" s="16">
        <f>IFERROR(VLOOKUP(H497,Clientes!$A$2:$H$400,2,0),"")</f>
        <v/>
      </c>
      <c r="R497" s="16">
        <f>IFERROR(VLOOKUP(H497,Clientes!$A$2:$H$400,3,0),"")</f>
        <v/>
      </c>
      <c r="S497" s="16">
        <f>IFERROR(VLOOKUP(H497,Clientes!$A$2:$H$400,4,0),"")</f>
        <v/>
      </c>
      <c r="T497" s="16">
        <f>IFERROR(VLOOKUP(H497,Clientes!$A$2:$H$400,5,0),"")</f>
        <v/>
      </c>
      <c r="U497" s="16">
        <f>IFERROR(VLOOKUP(F497,'LP MONCAR'!$A$4:$D$500,4,0),"")</f>
        <v/>
      </c>
    </row>
    <row r="498">
      <c r="A498" s="37" t="n"/>
      <c r="B498" s="16" t="n"/>
      <c r="C498" s="16" t="n"/>
      <c r="D498" s="17" t="n"/>
      <c r="E498" s="16">
        <f>IFERROR(IF(LEFT(F498,2)="RM","RMH","MONCAR"),"")</f>
        <v/>
      </c>
      <c r="F498" s="16" t="n"/>
      <c r="G498" s="16" t="n"/>
      <c r="H498" s="16" t="n"/>
      <c r="I498" s="19" t="n"/>
      <c r="J498" s="18">
        <f>IF(TRIM(F498)="","",IF(LEFT(TRIM(F498),2)="RM",IFERROR(IF(D498&gt;=DATE(2026,4,1),INDEX('LP RMH'!$F:$F,MATCH(TRIM(F498),'LP RMH'!$A:$A,0)),INDEX('LP RMH'!$E:$E,MATCH(TRIM(F498),'LP RMH'!$A:$A,0))),0),IFERROR(INDEX('LP MONCAR'!$E:$E,MATCH(TRIM(F498),'LP MONCAR'!$A:$A,0)),0)))</f>
        <v/>
      </c>
      <c r="K498" s="18">
        <f>IF(AND(ISNUMBER(G498),ISNUMBER(J498),G498&gt;0,J498&gt;0),G498*J498,"")</f>
        <v/>
      </c>
      <c r="L498" s="16">
        <f>IF(D498&lt;&gt;"",TEXT(D498,"YYYY-MM"),"")</f>
        <v/>
      </c>
      <c r="M498" s="16" t="n"/>
      <c r="N498" s="18">
        <f>IFERROR(IF(ISNUMBER(G498),G498*VLOOKUP(F498,Costos!$A$4:$E$320,5,0),0),0)</f>
        <v/>
      </c>
      <c r="O498" s="16">
        <f>IF(K498&lt;&gt;"",K498-N498,"")</f>
        <v/>
      </c>
      <c r="P498" s="16">
        <f>IFERROR(VLOOKUP(F498,'LP MONCAR'!$A$4:$C$500,3,0),"")</f>
        <v/>
      </c>
      <c r="Q498" s="16">
        <f>IFERROR(VLOOKUP(H498,Clientes!$A$2:$H$400,2,0),"")</f>
        <v/>
      </c>
      <c r="R498" s="16">
        <f>IFERROR(VLOOKUP(H498,Clientes!$A$2:$H$400,3,0),"")</f>
        <v/>
      </c>
      <c r="S498" s="16">
        <f>IFERROR(VLOOKUP(H498,Clientes!$A$2:$H$400,4,0),"")</f>
        <v/>
      </c>
      <c r="T498" s="16">
        <f>IFERROR(VLOOKUP(H498,Clientes!$A$2:$H$400,5,0),"")</f>
        <v/>
      </c>
      <c r="U498" s="16">
        <f>IFERROR(VLOOKUP(F498,'LP MONCAR'!$A$4:$D$500,4,0),"")</f>
        <v/>
      </c>
    </row>
    <row r="499">
      <c r="A499" s="37" t="n"/>
      <c r="B499" s="16" t="n"/>
      <c r="C499" s="16" t="n"/>
      <c r="D499" s="17" t="n"/>
      <c r="E499" s="16">
        <f>IFERROR(IF(LEFT(F499,2)="RM","RMH","MONCAR"),"")</f>
        <v/>
      </c>
      <c r="F499" s="16" t="n"/>
      <c r="G499" s="16" t="n"/>
      <c r="H499" s="16" t="n"/>
      <c r="I499" s="19" t="n"/>
      <c r="J499" s="18">
        <f>IF(TRIM(F499)="","",IF(LEFT(TRIM(F499),2)="RM",IFERROR(IF(D499&gt;=DATE(2026,4,1),INDEX('LP RMH'!$F:$F,MATCH(TRIM(F499),'LP RMH'!$A:$A,0)),INDEX('LP RMH'!$E:$E,MATCH(TRIM(F499),'LP RMH'!$A:$A,0))),0),IFERROR(INDEX('LP MONCAR'!$E:$E,MATCH(TRIM(F499),'LP MONCAR'!$A:$A,0)),0)))</f>
        <v/>
      </c>
      <c r="K499" s="18">
        <f>IF(AND(ISNUMBER(G499),ISNUMBER(J499),G499&gt;0,J499&gt;0),G499*J499,"")</f>
        <v/>
      </c>
      <c r="L499" s="16">
        <f>IF(D499&lt;&gt;"",TEXT(D499,"YYYY-MM"),"")</f>
        <v/>
      </c>
      <c r="M499" s="16" t="n"/>
      <c r="N499" s="18">
        <f>IFERROR(IF(ISNUMBER(G499),G499*VLOOKUP(F499,Costos!$A$4:$E$320,5,0),0),0)</f>
        <v/>
      </c>
      <c r="O499" s="16">
        <f>IF(K499&lt;&gt;"",K499-N499,"")</f>
        <v/>
      </c>
      <c r="P499" s="16">
        <f>IFERROR(VLOOKUP(F499,'LP MONCAR'!$A$4:$C$500,3,0),"")</f>
        <v/>
      </c>
      <c r="Q499" s="16">
        <f>IFERROR(VLOOKUP(H499,Clientes!$A$2:$H$400,2,0),"")</f>
        <v/>
      </c>
      <c r="R499" s="16">
        <f>IFERROR(VLOOKUP(H499,Clientes!$A$2:$H$400,3,0),"")</f>
        <v/>
      </c>
      <c r="S499" s="16">
        <f>IFERROR(VLOOKUP(H499,Clientes!$A$2:$H$400,4,0),"")</f>
        <v/>
      </c>
      <c r="T499" s="16">
        <f>IFERROR(VLOOKUP(H499,Clientes!$A$2:$H$400,5,0),"")</f>
        <v/>
      </c>
      <c r="U499" s="16">
        <f>IFERROR(VLOOKUP(F499,'LP MONCAR'!$A$4:$D$500,4,0),"")</f>
        <v/>
      </c>
    </row>
    <row r="500">
      <c r="A500" s="37" t="n"/>
      <c r="B500" s="16" t="n"/>
      <c r="C500" s="16" t="n"/>
      <c r="D500" s="17" t="n"/>
      <c r="E500" s="16">
        <f>IFERROR(IF(LEFT(F500,2)="RM","RMH","MONCAR"),"")</f>
        <v/>
      </c>
      <c r="F500" s="16" t="n"/>
      <c r="G500" s="16" t="n"/>
      <c r="H500" s="16" t="n"/>
      <c r="I500" s="19" t="n"/>
      <c r="J500" s="18">
        <f>IF(TRIM(F500)="","",IF(LEFT(TRIM(F500),2)="RM",IFERROR(IF(D500&gt;=DATE(2026,4,1),INDEX('LP RMH'!$F:$F,MATCH(TRIM(F500),'LP RMH'!$A:$A,0)),INDEX('LP RMH'!$E:$E,MATCH(TRIM(F500),'LP RMH'!$A:$A,0))),0),IFERROR(INDEX('LP MONCAR'!$E:$E,MATCH(TRIM(F500),'LP MONCAR'!$A:$A,0)),0)))</f>
        <v/>
      </c>
      <c r="K500" s="18">
        <f>IF(AND(ISNUMBER(G500),ISNUMBER(J500),G500&gt;0,J500&gt;0),G500*J500,"")</f>
        <v/>
      </c>
      <c r="L500" s="16">
        <f>IF(D500&lt;&gt;"",TEXT(D500,"YYYY-MM"),"")</f>
        <v/>
      </c>
      <c r="M500" s="16" t="n"/>
      <c r="N500" s="18">
        <f>IFERROR(IF(ISNUMBER(G500),G500*VLOOKUP(F500,Costos!$A$4:$E$320,5,0),0),0)</f>
        <v/>
      </c>
      <c r="O500" s="16">
        <f>IF(K500&lt;&gt;"",K500-N500,"")</f>
        <v/>
      </c>
      <c r="P500" s="16">
        <f>IFERROR(VLOOKUP(F500,'LP MONCAR'!$A$4:$C$500,3,0),"")</f>
        <v/>
      </c>
      <c r="Q500" s="16">
        <f>IFERROR(VLOOKUP(H500,Clientes!$A$2:$H$400,2,0),"")</f>
        <v/>
      </c>
      <c r="R500" s="16">
        <f>IFERROR(VLOOKUP(H500,Clientes!$A$2:$H$400,3,0),"")</f>
        <v/>
      </c>
      <c r="S500" s="16">
        <f>IFERROR(VLOOKUP(H500,Clientes!$A$2:$H$400,4,0),"")</f>
        <v/>
      </c>
      <c r="T500" s="16">
        <f>IFERROR(VLOOKUP(H500,Clientes!$A$2:$H$400,5,0),"")</f>
        <v/>
      </c>
      <c r="U500" s="16">
        <f>IFERROR(VLOOKUP(F500,'LP MONCAR'!$A$4:$D$500,4,0),"")</f>
        <v/>
      </c>
    </row>
    <row r="501">
      <c r="A501" s="37" t="n"/>
      <c r="B501" s="16" t="n"/>
      <c r="C501" s="16" t="n"/>
      <c r="D501" s="16" t="n"/>
      <c r="E501" s="16">
        <f>IFERROR(IF(LEFT(F501,2)="RM","RMH","MONCAR"),"")</f>
        <v/>
      </c>
      <c r="F501" s="16" t="n"/>
      <c r="G501" s="16" t="n"/>
      <c r="H501" s="16" t="n"/>
      <c r="I501" s="16" t="n"/>
      <c r="J501" s="16">
        <f>IF(TRIM(F501)="","",IF(LEFT(TRIM(F501),2)="RM",IFERROR(IF(D501&gt;=DATE(2026,4,1),INDEX('LP RMH'!$F:$F,MATCH(TRIM(F501),'LP RMH'!$A:$A,0)),INDEX('LP RMH'!$E:$E,MATCH(TRIM(F501),'LP RMH'!$A:$A,0))),0),IFERROR(INDEX('LP MONCAR'!$E:$E,MATCH(TRIM(F501),'LP MONCAR'!$A:$A,0)),0)))</f>
        <v/>
      </c>
      <c r="K501" s="18">
        <f>IF(AND(ISNUMBER(G501),ISNUMBER(J501),G501&gt;0,J501&gt;0),G501*J501,"")</f>
        <v/>
      </c>
      <c r="L501" s="16">
        <f>IF(D501&lt;&gt;"",TEXT(D501,"YYYY-MM"),"")</f>
        <v/>
      </c>
      <c r="M501" s="16" t="n"/>
      <c r="N501" s="16">
        <f>IFERROR(IF(ISNUMBER(G501),G501*VLOOKUP(F501,Costos!$A$4:$E$320,5,0),0),0)</f>
        <v/>
      </c>
      <c r="O501" s="16">
        <f>IF(K501&lt;&gt;"",K501-N501,"")</f>
        <v/>
      </c>
      <c r="P501" s="16">
        <f>IFERROR(VLOOKUP(F501,'LP MONCAR'!$A$4:$C$500,3,0),"")</f>
        <v/>
      </c>
      <c r="Q501" s="16">
        <f>IFERROR(VLOOKUP(H501,Clientes!$A$2:$H$400,2,0),"")</f>
        <v/>
      </c>
      <c r="R501" s="16">
        <f>IFERROR(VLOOKUP(H501,Clientes!$A$2:$H$400,3,0),"")</f>
        <v/>
      </c>
      <c r="S501" s="16">
        <f>IFERROR(VLOOKUP(H501,Clientes!$A$2:$H$400,4,0),"")</f>
        <v/>
      </c>
      <c r="T501" s="16">
        <f>IFERROR(VLOOKUP(H501,Clientes!$A$2:$H$400,5,0),"")</f>
        <v/>
      </c>
      <c r="U501" s="16">
        <f>IFERROR(VLOOKUP(F501,'LP MONCAR'!$A$4:$D$500,4,0),"")</f>
        <v/>
      </c>
    </row>
    <row r="502">
      <c r="A502" s="37" t="n"/>
      <c r="B502" s="16" t="n"/>
      <c r="C502" s="16" t="n"/>
      <c r="D502" s="16" t="n"/>
      <c r="E502" s="16">
        <f>IFERROR(IF(LEFT(F502,2)="RM","RMH","MONCAR"),"")</f>
        <v/>
      </c>
      <c r="F502" s="16" t="n"/>
      <c r="G502" s="16" t="n"/>
      <c r="H502" s="16" t="n"/>
      <c r="I502" s="16" t="n"/>
      <c r="J502" s="16">
        <f>IF(TRIM(F502)="","",IF(LEFT(TRIM(F502),2)="RM",IFERROR(IF(D502&gt;=DATE(2026,4,1),INDEX('LP RMH'!$F:$F,MATCH(TRIM(F502),'LP RMH'!$A:$A,0)),INDEX('LP RMH'!$E:$E,MATCH(TRIM(F502),'LP RMH'!$A:$A,0))),0),IFERROR(INDEX('LP MONCAR'!$E:$E,MATCH(TRIM(F502),'LP MONCAR'!$A:$A,0)),0)))</f>
        <v/>
      </c>
      <c r="K502" s="18">
        <f>IF(AND(ISNUMBER(G502),ISNUMBER(J502),G502&gt;0,J502&gt;0),G502*J502,"")</f>
        <v/>
      </c>
      <c r="L502" s="16">
        <f>IF(D502&lt;&gt;"",TEXT(D502,"YYYY-MM"),"")</f>
        <v/>
      </c>
      <c r="M502" s="16" t="n"/>
      <c r="N502" s="16">
        <f>IFERROR(IF(ISNUMBER(G502),G502*VLOOKUP(F502,Costos!$A$4:$E$320,5,0),0),0)</f>
        <v/>
      </c>
      <c r="O502" s="16">
        <f>IF(K502&lt;&gt;"",K502-N502,"")</f>
        <v/>
      </c>
      <c r="P502" s="16">
        <f>IFERROR(VLOOKUP(F502,'LP MONCAR'!$A$4:$C$500,3,0),"")</f>
        <v/>
      </c>
      <c r="Q502" s="16">
        <f>IFERROR(VLOOKUP(H502,Clientes!$A$2:$H$400,2,0),"")</f>
        <v/>
      </c>
      <c r="R502" s="16">
        <f>IFERROR(VLOOKUP(H502,Clientes!$A$2:$H$400,3,0),"")</f>
        <v/>
      </c>
      <c r="S502" s="16">
        <f>IFERROR(VLOOKUP(H502,Clientes!$A$2:$H$400,4,0),"")</f>
        <v/>
      </c>
      <c r="T502" s="16">
        <f>IFERROR(VLOOKUP(H502,Clientes!$A$2:$H$400,5,0),"")</f>
        <v/>
      </c>
      <c r="U502" s="16">
        <f>IFERROR(VLOOKUP(F502,'LP MONCAR'!$A$4:$D$500,4,0),"")</f>
        <v/>
      </c>
    </row>
    <row r="503">
      <c r="A503" s="37" t="n"/>
      <c r="B503" s="16" t="n"/>
      <c r="C503" s="16" t="n"/>
      <c r="D503" s="16" t="n"/>
      <c r="E503" s="16">
        <f>IFERROR(IF(LEFT(F503,2)="RM","RMH","MONCAR"),"")</f>
        <v/>
      </c>
      <c r="F503" s="16" t="n"/>
      <c r="G503" s="16" t="n"/>
      <c r="H503" s="16" t="n"/>
      <c r="I503" s="16" t="n"/>
      <c r="J503" s="16">
        <f>IF(TRIM(F503)="","",IF(LEFT(TRIM(F503),2)="RM",IFERROR(IF(D503&gt;=DATE(2026,4,1),INDEX('LP RMH'!$F:$F,MATCH(TRIM(F503),'LP RMH'!$A:$A,0)),INDEX('LP RMH'!$E:$E,MATCH(TRIM(F503),'LP RMH'!$A:$A,0))),0),IFERROR(INDEX('LP MONCAR'!$E:$E,MATCH(TRIM(F503),'LP MONCAR'!$A:$A,0)),0)))</f>
        <v/>
      </c>
      <c r="K503" s="16">
        <f>IF(AND(ISNUMBER(G503),ISNUMBER(J503),G503&gt;0,J503&gt;0),G503*J503,"")</f>
        <v/>
      </c>
      <c r="L503" s="16">
        <f>IF(D503&lt;&gt;"",TEXT(D503,"YYYY-MM"),"")</f>
        <v/>
      </c>
      <c r="M503" s="16" t="n"/>
      <c r="N503" s="16">
        <f>IFERROR(IF(ISNUMBER(G503),G503*VLOOKUP(F503,Costos!$A$4:$E$320,5,0),0),0)</f>
        <v/>
      </c>
      <c r="O503" s="16">
        <f>IF(K503&lt;&gt;"",K503-N503,"")</f>
        <v/>
      </c>
      <c r="P503" s="16">
        <f>IFERROR(VLOOKUP(F503,'LP MONCAR'!$A$4:$C$500,3,0),"")</f>
        <v/>
      </c>
      <c r="Q503" s="16">
        <f>IFERROR(VLOOKUP(H503,Clientes!$A$2:$H$400,2,0),"")</f>
        <v/>
      </c>
      <c r="R503" s="16">
        <f>IFERROR(VLOOKUP(H503,Clientes!$A$2:$H$400,3,0),"")</f>
        <v/>
      </c>
      <c r="S503" s="16">
        <f>IFERROR(VLOOKUP(H503,Clientes!$A$2:$H$400,4,0),"")</f>
        <v/>
      </c>
      <c r="T503" s="16">
        <f>IFERROR(VLOOKUP(H503,Clientes!$A$2:$H$400,5,0),"")</f>
        <v/>
      </c>
      <c r="U503" s="16">
        <f>IFERROR(VLOOKUP(F503,'LP MONCAR'!$A$4:$D$500,4,0),"")</f>
        <v/>
      </c>
    </row>
    <row r="504">
      <c r="A504" s="37" t="n"/>
      <c r="B504" s="16" t="n"/>
      <c r="C504" s="16" t="n"/>
      <c r="D504" s="16" t="n"/>
      <c r="E504" s="16">
        <f>IFERROR(IF(LEFT(F504,2)="RM","RMH","MONCAR"),"")</f>
        <v/>
      </c>
      <c r="F504" s="16" t="n"/>
      <c r="G504" s="16" t="n"/>
      <c r="H504" s="16" t="n"/>
      <c r="I504" s="16" t="n"/>
      <c r="J504" s="16">
        <f>IF(TRIM(F504)="","",IF(LEFT(TRIM(F504),2)="RM",IFERROR(IF(D504&gt;=DATE(2026,4,1),INDEX('LP RMH'!$F:$F,MATCH(TRIM(F504),'LP RMH'!$A:$A,0)),INDEX('LP RMH'!$E:$E,MATCH(TRIM(F504),'LP RMH'!$A:$A,0))),0),IFERROR(INDEX('LP MONCAR'!$E:$E,MATCH(TRIM(F504),'LP MONCAR'!$A:$A,0)),0)))</f>
        <v/>
      </c>
      <c r="K504" s="16">
        <f>IF(AND(ISNUMBER(G504),ISNUMBER(J504),G504&gt;0,J504&gt;0),G504*J504,"")</f>
        <v/>
      </c>
      <c r="L504" s="16">
        <f>IF(D504&lt;&gt;"",TEXT(D504,"YYYY-MM"),"")</f>
        <v/>
      </c>
      <c r="M504" s="16" t="n"/>
      <c r="N504" s="16">
        <f>IFERROR(IF(ISNUMBER(G504),G504*VLOOKUP(F504,Costos!$A$4:$E$320,5,0),0),0)</f>
        <v/>
      </c>
      <c r="O504" s="16">
        <f>IF(K504&lt;&gt;"",K504-N504,"")</f>
        <v/>
      </c>
      <c r="P504" s="16">
        <f>IFERROR(VLOOKUP(F504,'LP MONCAR'!$A$4:$C$500,3,0),"")</f>
        <v/>
      </c>
      <c r="Q504" s="16">
        <f>IFERROR(VLOOKUP(H504,Clientes!$A$2:$H$400,2,0),"")</f>
        <v/>
      </c>
      <c r="R504" s="16">
        <f>IFERROR(VLOOKUP(H504,Clientes!$A$2:$H$400,3,0),"")</f>
        <v/>
      </c>
      <c r="S504" s="16">
        <f>IFERROR(VLOOKUP(H504,Clientes!$A$2:$H$400,4,0),"")</f>
        <v/>
      </c>
      <c r="T504" s="16">
        <f>IFERROR(VLOOKUP(H504,Clientes!$A$2:$H$400,5,0),"")</f>
        <v/>
      </c>
      <c r="U504" s="16">
        <f>IFERROR(VLOOKUP(F504,'LP MONCAR'!$A$4:$D$500,4,0),"")</f>
        <v/>
      </c>
    </row>
    <row r="505">
      <c r="A505" s="37" t="n"/>
      <c r="B505" s="16" t="n"/>
      <c r="C505" s="16" t="n"/>
      <c r="D505" s="16" t="n"/>
      <c r="E505" s="16">
        <f>IFERROR(IF(LEFT(F505,2)="RM","RMH","MONCAR"),"")</f>
        <v/>
      </c>
      <c r="F505" s="16" t="n"/>
      <c r="G505" s="16" t="n"/>
      <c r="H505" s="16" t="n"/>
      <c r="I505" s="16" t="n"/>
      <c r="J505" s="16">
        <f>IF(TRIM(F505)="","",IF(LEFT(TRIM(F505),2)="RM",IFERROR(IF(D505&gt;=DATE(2026,4,1),INDEX('LP RMH'!$F:$F,MATCH(TRIM(F505),'LP RMH'!$A:$A,0)),INDEX('LP RMH'!$E:$E,MATCH(TRIM(F505),'LP RMH'!$A:$A,0))),0),IFERROR(INDEX('LP MONCAR'!$E:$E,MATCH(TRIM(F505),'LP MONCAR'!$A:$A,0)),0)))</f>
        <v/>
      </c>
      <c r="K505" s="16">
        <f>IF(AND(ISNUMBER(G505),ISNUMBER(J505),G505&gt;0,J505&gt;0),G505*J505,"")</f>
        <v/>
      </c>
      <c r="L505" s="16">
        <f>IF(D505&lt;&gt;"",TEXT(D505,"YYYY-MM"),"")</f>
        <v/>
      </c>
      <c r="M505" s="16" t="n"/>
      <c r="N505" s="16">
        <f>IFERROR(IF(ISNUMBER(G505),G505*VLOOKUP(F505,Costos!$A$4:$E$320,5,0),0),0)</f>
        <v/>
      </c>
      <c r="O505" s="16">
        <f>IF(K505&lt;&gt;"",K505-N505,"")</f>
        <v/>
      </c>
      <c r="P505" s="16">
        <f>IFERROR(VLOOKUP(F505,'LP MONCAR'!$A$4:$C$500,3,0),"")</f>
        <v/>
      </c>
      <c r="Q505" s="16">
        <f>IFERROR(VLOOKUP(H505,Clientes!$A$2:$H$400,2,0),"")</f>
        <v/>
      </c>
      <c r="R505" s="16">
        <f>IFERROR(VLOOKUP(H505,Clientes!$A$2:$H$400,3,0),"")</f>
        <v/>
      </c>
      <c r="S505" s="16">
        <f>IFERROR(VLOOKUP(H505,Clientes!$A$2:$H$400,4,0),"")</f>
        <v/>
      </c>
      <c r="T505" s="16">
        <f>IFERROR(VLOOKUP(H505,Clientes!$A$2:$H$400,5,0),"")</f>
        <v/>
      </c>
      <c r="U505" s="16">
        <f>IFERROR(VLOOKUP(F505,'LP MONCAR'!$A$4:$D$500,4,0),"")</f>
        <v/>
      </c>
    </row>
    <row r="506">
      <c r="A506" s="37" t="n"/>
      <c r="B506" s="16" t="n"/>
      <c r="C506" s="16" t="n"/>
      <c r="D506" s="16" t="n"/>
      <c r="E506" s="16">
        <f>IFERROR(IF(LEFT(F506,2)="RM","RMH","MONCAR"),"")</f>
        <v/>
      </c>
      <c r="F506" s="16" t="n"/>
      <c r="G506" s="16" t="n"/>
      <c r="H506" s="16" t="n"/>
      <c r="I506" s="16" t="n"/>
      <c r="J506" s="16">
        <f>IF(TRIM(F506)="","",IF(LEFT(TRIM(F506),2)="RM",IFERROR(IF(D506&gt;=DATE(2026,4,1),INDEX('LP RMH'!$F:$F,MATCH(TRIM(F506),'LP RMH'!$A:$A,0)),INDEX('LP RMH'!$E:$E,MATCH(TRIM(F506),'LP RMH'!$A:$A,0))),0),IFERROR(INDEX('LP MONCAR'!$E:$E,MATCH(TRIM(F506),'LP MONCAR'!$A:$A,0)),0)))</f>
        <v/>
      </c>
      <c r="K506" s="16">
        <f>IF(AND(ISNUMBER(G506),ISNUMBER(J506),G506&gt;0,J506&gt;0),G506*J506,"")</f>
        <v/>
      </c>
      <c r="L506" s="16">
        <f>IF(D506&lt;&gt;"",TEXT(D506,"YYYY-MM"),"")</f>
        <v/>
      </c>
      <c r="M506" s="16" t="n"/>
      <c r="N506" s="16">
        <f>IFERROR(IF(ISNUMBER(G506),G506*VLOOKUP(F506,Costos!$A$4:$E$320,5,0),0),0)</f>
        <v/>
      </c>
      <c r="O506" s="16">
        <f>IF(K506&lt;&gt;"",K506-N506,"")</f>
        <v/>
      </c>
      <c r="P506" s="16">
        <f>IFERROR(VLOOKUP(F506,'LP MONCAR'!$A$4:$C$500,3,0),"")</f>
        <v/>
      </c>
      <c r="Q506" s="16">
        <f>IFERROR(VLOOKUP(H506,Clientes!$A$2:$H$400,2,0),"")</f>
        <v/>
      </c>
      <c r="R506" s="16">
        <f>IFERROR(VLOOKUP(H506,Clientes!$A$2:$H$400,3,0),"")</f>
        <v/>
      </c>
      <c r="S506" s="16">
        <f>IFERROR(VLOOKUP(H506,Clientes!$A$2:$H$400,4,0),"")</f>
        <v/>
      </c>
      <c r="T506" s="16">
        <f>IFERROR(VLOOKUP(H506,Clientes!$A$2:$H$400,5,0),"")</f>
        <v/>
      </c>
      <c r="U506" s="16">
        <f>IFERROR(VLOOKUP(F506,'LP MONCAR'!$A$4:$D$500,4,0),"")</f>
        <v/>
      </c>
    </row>
    <row r="507">
      <c r="A507" s="37" t="n"/>
      <c r="B507" s="16" t="n"/>
      <c r="C507" s="16" t="n"/>
      <c r="D507" s="16" t="n"/>
      <c r="E507" s="16">
        <f>IFERROR(IF(LEFT(F507,2)="RM","RMH","MONCAR"),"")</f>
        <v/>
      </c>
      <c r="F507" s="16" t="n"/>
      <c r="G507" s="16" t="n"/>
      <c r="H507" s="16" t="n"/>
      <c r="I507" s="16" t="n"/>
      <c r="J507" s="16">
        <f>IF(TRIM(F507)="","",IF(LEFT(TRIM(F507),2)="RM",IFERROR(IF(D507&gt;=DATE(2026,4,1),INDEX('LP RMH'!$F:$F,MATCH(TRIM(F507),'LP RMH'!$A:$A,0)),INDEX('LP RMH'!$E:$E,MATCH(TRIM(F507),'LP RMH'!$A:$A,0))),0),IFERROR(INDEX('LP MONCAR'!$E:$E,MATCH(TRIM(F507),'LP MONCAR'!$A:$A,0)),0)))</f>
        <v/>
      </c>
      <c r="K507" s="16">
        <f>IF(AND(ISNUMBER(G507),ISNUMBER(J507),G507&gt;0,J507&gt;0),G507*J507,"")</f>
        <v/>
      </c>
      <c r="L507" s="16">
        <f>IF(D507&lt;&gt;"",TEXT(D507,"YYYY-MM"),"")</f>
        <v/>
      </c>
      <c r="M507" s="16" t="n"/>
      <c r="N507" s="16">
        <f>IFERROR(IF(ISNUMBER(G507),G507*VLOOKUP(F507,Costos!$A$4:$E$320,5,0),0),0)</f>
        <v/>
      </c>
      <c r="O507" s="16">
        <f>IF(K507&lt;&gt;"",K507-N507,"")</f>
        <v/>
      </c>
      <c r="P507" s="16">
        <f>IFERROR(VLOOKUP(F507,'LP MONCAR'!$A$4:$C$500,3,0),"")</f>
        <v/>
      </c>
      <c r="Q507" s="16">
        <f>IFERROR(VLOOKUP(H507,Clientes!$A$2:$H$400,2,0),"")</f>
        <v/>
      </c>
      <c r="R507" s="16">
        <f>IFERROR(VLOOKUP(H507,Clientes!$A$2:$H$400,3,0),"")</f>
        <v/>
      </c>
      <c r="S507" s="16">
        <f>IFERROR(VLOOKUP(H507,Clientes!$A$2:$H$400,4,0),"")</f>
        <v/>
      </c>
      <c r="T507" s="16">
        <f>IFERROR(VLOOKUP(H507,Clientes!$A$2:$H$400,5,0),"")</f>
        <v/>
      </c>
      <c r="U507" s="16">
        <f>IFERROR(VLOOKUP(F507,'LP MONCAR'!$A$4:$D$500,4,0),"")</f>
        <v/>
      </c>
    </row>
    <row r="508">
      <c r="A508" s="37" t="n"/>
      <c r="B508" s="16" t="n"/>
      <c r="C508" s="16" t="n"/>
      <c r="D508" s="16" t="n"/>
      <c r="E508" s="16">
        <f>IFERROR(IF(LEFT(F508,2)="RM","RMH","MONCAR"),"")</f>
        <v/>
      </c>
      <c r="F508" s="16" t="n"/>
      <c r="G508" s="16" t="n"/>
      <c r="H508" s="16" t="n"/>
      <c r="I508" s="16" t="n"/>
      <c r="J508" s="16">
        <f>IF(TRIM(F508)="","",IF(LEFT(TRIM(F508),2)="RM",IFERROR(IF(D508&gt;=DATE(2026,4,1),INDEX('LP RMH'!$F:$F,MATCH(TRIM(F508),'LP RMH'!$A:$A,0)),INDEX('LP RMH'!$E:$E,MATCH(TRIM(F508),'LP RMH'!$A:$A,0))),0),IFERROR(INDEX('LP MONCAR'!$E:$E,MATCH(TRIM(F508),'LP MONCAR'!$A:$A,0)),0)))</f>
        <v/>
      </c>
      <c r="K508" s="16">
        <f>IF(AND(ISNUMBER(G508),ISNUMBER(J508),G508&gt;0,J508&gt;0),G508*J508,"")</f>
        <v/>
      </c>
      <c r="L508" s="16">
        <f>IF(D508&lt;&gt;"",TEXT(D508,"YYYY-MM"),"")</f>
        <v/>
      </c>
      <c r="M508" s="16" t="n"/>
      <c r="N508" s="16">
        <f>IFERROR(IF(ISNUMBER(G508),G508*VLOOKUP(F508,Costos!$A$4:$E$320,5,0),0),0)</f>
        <v/>
      </c>
      <c r="O508" s="16">
        <f>IF(K508&lt;&gt;"",K508-N508,"")</f>
        <v/>
      </c>
      <c r="P508" s="16">
        <f>IFERROR(VLOOKUP(F508,'LP MONCAR'!$A$4:$C$500,3,0),"")</f>
        <v/>
      </c>
      <c r="Q508" s="16">
        <f>IFERROR(VLOOKUP(H508,Clientes!$A$2:$H$400,2,0),"")</f>
        <v/>
      </c>
      <c r="R508" s="16">
        <f>IFERROR(VLOOKUP(H508,Clientes!$A$2:$H$400,3,0),"")</f>
        <v/>
      </c>
      <c r="S508" s="16">
        <f>IFERROR(VLOOKUP(H508,Clientes!$A$2:$H$400,4,0),"")</f>
        <v/>
      </c>
      <c r="T508" s="16">
        <f>IFERROR(VLOOKUP(H508,Clientes!$A$2:$H$400,5,0),"")</f>
        <v/>
      </c>
      <c r="U508" s="16">
        <f>IFERROR(VLOOKUP(F508,'LP MONCAR'!$A$4:$D$500,4,0),"")</f>
        <v/>
      </c>
    </row>
    <row r="509">
      <c r="A509" s="37" t="n"/>
      <c r="B509" s="16" t="n"/>
      <c r="C509" s="16" t="n"/>
      <c r="D509" s="16" t="n"/>
      <c r="E509" s="16">
        <f>IFERROR(IF(LEFT(F509,2)="RM","RMH","MONCAR"),"")</f>
        <v/>
      </c>
      <c r="F509" s="16" t="n"/>
      <c r="G509" s="16" t="n"/>
      <c r="H509" s="16" t="n"/>
      <c r="I509" s="16" t="n"/>
      <c r="J509" s="16">
        <f>IF(TRIM(F509)="","",IF(LEFT(TRIM(F509),2)="RM",IFERROR(IF(D509&gt;=DATE(2026,4,1),INDEX('LP RMH'!$F:$F,MATCH(TRIM(F509),'LP RMH'!$A:$A,0)),INDEX('LP RMH'!$E:$E,MATCH(TRIM(F509),'LP RMH'!$A:$A,0))),0),IFERROR(INDEX('LP MONCAR'!$E:$E,MATCH(TRIM(F509),'LP MONCAR'!$A:$A,0)),0)))</f>
        <v/>
      </c>
      <c r="K509" s="16">
        <f>IF(AND(ISNUMBER(G509),ISNUMBER(J509),G509&gt;0,J509&gt;0),G509*J509,"")</f>
        <v/>
      </c>
      <c r="L509" s="16">
        <f>IF(D509&lt;&gt;"",TEXT(D509,"YYYY-MM"),"")</f>
        <v/>
      </c>
      <c r="M509" s="16" t="n"/>
      <c r="N509" s="16">
        <f>IFERROR(IF(ISNUMBER(G509),G509*VLOOKUP(F509,Costos!$A$4:$E$320,5,0),0),0)</f>
        <v/>
      </c>
      <c r="O509" s="16">
        <f>IF(K509&lt;&gt;"",K509-N509,"")</f>
        <v/>
      </c>
      <c r="P509" s="16">
        <f>IFERROR(VLOOKUP(F509,'LP MONCAR'!$A$4:$C$500,3,0),"")</f>
        <v/>
      </c>
      <c r="Q509" s="16">
        <f>IFERROR(VLOOKUP(H509,Clientes!$A$2:$H$400,2,0),"")</f>
        <v/>
      </c>
      <c r="R509" s="16">
        <f>IFERROR(VLOOKUP(H509,Clientes!$A$2:$H$400,3,0),"")</f>
        <v/>
      </c>
      <c r="S509" s="16">
        <f>IFERROR(VLOOKUP(H509,Clientes!$A$2:$H$400,4,0),"")</f>
        <v/>
      </c>
      <c r="T509" s="16">
        <f>IFERROR(VLOOKUP(H509,Clientes!$A$2:$H$400,5,0),"")</f>
        <v/>
      </c>
      <c r="U509" s="16">
        <f>IFERROR(VLOOKUP(F509,'LP MONCAR'!$A$4:$D$500,4,0),"")</f>
        <v/>
      </c>
    </row>
    <row r="510">
      <c r="A510" s="37" t="n"/>
      <c r="B510" s="16" t="n"/>
      <c r="C510" s="16" t="n"/>
      <c r="D510" s="16" t="n"/>
      <c r="E510" s="16">
        <f>IFERROR(IF(LEFT(F510,2)="RM","RMH","MONCAR"),"")</f>
        <v/>
      </c>
      <c r="F510" s="16" t="n"/>
      <c r="G510" s="16" t="n"/>
      <c r="H510" s="16" t="n"/>
      <c r="I510" s="16" t="n"/>
      <c r="J510" s="16">
        <f>IF(TRIM(F510)="","",IF(LEFT(TRIM(F510),2)="RM",IFERROR(IF(D510&gt;=DATE(2026,4,1),INDEX('LP RMH'!$F:$F,MATCH(TRIM(F510),'LP RMH'!$A:$A,0)),INDEX('LP RMH'!$E:$E,MATCH(TRIM(F510),'LP RMH'!$A:$A,0))),0),IFERROR(INDEX('LP MONCAR'!$E:$E,MATCH(TRIM(F510),'LP MONCAR'!$A:$A,0)),0)))</f>
        <v/>
      </c>
      <c r="K510" s="16">
        <f>IF(AND(ISNUMBER(G510),ISNUMBER(J510),G510&gt;0,J510&gt;0),G510*J510,"")</f>
        <v/>
      </c>
      <c r="L510" s="16">
        <f>IF(D510&lt;&gt;"",TEXT(D510,"YYYY-MM"),"")</f>
        <v/>
      </c>
      <c r="M510" s="16" t="n"/>
      <c r="N510" s="16">
        <f>IFERROR(IF(ISNUMBER(G510),G510*VLOOKUP(F510,Costos!$A$4:$E$320,5,0),0),0)</f>
        <v/>
      </c>
      <c r="O510" s="16">
        <f>IF(K510&lt;&gt;"",K510-N510,"")</f>
        <v/>
      </c>
      <c r="P510" s="16">
        <f>IFERROR(VLOOKUP(F510,'LP MONCAR'!$A$4:$C$500,3,0),"")</f>
        <v/>
      </c>
      <c r="Q510" s="16">
        <f>IFERROR(VLOOKUP(H510,Clientes!$A$2:$H$400,2,0),"")</f>
        <v/>
      </c>
      <c r="R510" s="16">
        <f>IFERROR(VLOOKUP(H510,Clientes!$A$2:$H$400,3,0),"")</f>
        <v/>
      </c>
      <c r="S510" s="16">
        <f>IFERROR(VLOOKUP(H510,Clientes!$A$2:$H$400,4,0),"")</f>
        <v/>
      </c>
      <c r="T510" s="16">
        <f>IFERROR(VLOOKUP(H510,Clientes!$A$2:$H$400,5,0),"")</f>
        <v/>
      </c>
      <c r="U510" s="16">
        <f>IFERROR(VLOOKUP(F510,'LP MONCAR'!$A$4:$D$500,4,0),"")</f>
        <v/>
      </c>
    </row>
    <row r="511">
      <c r="A511" s="37" t="n"/>
      <c r="B511" s="16" t="n"/>
      <c r="C511" s="16" t="n"/>
      <c r="D511" s="16" t="n"/>
      <c r="E511" s="16">
        <f>IFERROR(IF(LEFT(F511,2)="RM","RMH","MONCAR"),"")</f>
        <v/>
      </c>
      <c r="F511" s="16" t="n"/>
      <c r="G511" s="16" t="n"/>
      <c r="H511" s="16" t="n"/>
      <c r="I511" s="16" t="n"/>
      <c r="J511" s="16">
        <f>IF(TRIM(F511)="","",IF(LEFT(TRIM(F511),2)="RM",IFERROR(IF(D511&gt;=DATE(2026,4,1),INDEX('LP RMH'!$F:$F,MATCH(TRIM(F511),'LP RMH'!$A:$A,0)),INDEX('LP RMH'!$E:$E,MATCH(TRIM(F511),'LP RMH'!$A:$A,0))),0),IFERROR(INDEX('LP MONCAR'!$E:$E,MATCH(TRIM(F511),'LP MONCAR'!$A:$A,0)),0)))</f>
        <v/>
      </c>
      <c r="K511" s="16">
        <f>IF(AND(ISNUMBER(G511),ISNUMBER(J511),G511&gt;0,J511&gt;0),G511*J511,"")</f>
        <v/>
      </c>
      <c r="L511" s="16">
        <f>IF(D511&lt;&gt;"",TEXT(D511,"YYYY-MM"),"")</f>
        <v/>
      </c>
      <c r="M511" s="16" t="n"/>
      <c r="N511" s="16">
        <f>IFERROR(IF(ISNUMBER(G511),G511*VLOOKUP(F511,Costos!$A$4:$E$320,5,0),0),0)</f>
        <v/>
      </c>
      <c r="O511" s="16">
        <f>IF(K511&lt;&gt;"",K511-N511,"")</f>
        <v/>
      </c>
      <c r="P511" s="16">
        <f>IFERROR(VLOOKUP(F511,'LP MONCAR'!$A$4:$C$500,3,0),"")</f>
        <v/>
      </c>
      <c r="Q511" s="16">
        <f>IFERROR(VLOOKUP(H511,Clientes!$A$2:$H$400,2,0),"")</f>
        <v/>
      </c>
      <c r="R511" s="16">
        <f>IFERROR(VLOOKUP(H511,Clientes!$A$2:$H$400,3,0),"")</f>
        <v/>
      </c>
      <c r="S511" s="16">
        <f>IFERROR(VLOOKUP(H511,Clientes!$A$2:$H$400,4,0),"")</f>
        <v/>
      </c>
      <c r="T511" s="16">
        <f>IFERROR(VLOOKUP(H511,Clientes!$A$2:$H$400,5,0),"")</f>
        <v/>
      </c>
      <c r="U511" s="16">
        <f>IFERROR(VLOOKUP(F511,'LP MONCAR'!$A$4:$D$500,4,0),"")</f>
        <v/>
      </c>
    </row>
    <row r="512">
      <c r="A512" s="37" t="n"/>
      <c r="B512" s="16" t="n"/>
      <c r="C512" s="16" t="n"/>
      <c r="D512" s="16" t="n"/>
      <c r="E512" s="16">
        <f>IFERROR(IF(LEFT(F512,2)="RM","RMH","MONCAR"),"")</f>
        <v/>
      </c>
      <c r="F512" s="16" t="n"/>
      <c r="G512" s="16" t="n"/>
      <c r="H512" s="16" t="n"/>
      <c r="I512" s="16" t="n"/>
      <c r="J512" s="16">
        <f>IF(TRIM(F512)="","",IF(LEFT(TRIM(F512),2)="RM",IFERROR(IF(D512&gt;=DATE(2026,4,1),INDEX('LP RMH'!$F:$F,MATCH(TRIM(F512),'LP RMH'!$A:$A,0)),INDEX('LP RMH'!$E:$E,MATCH(TRIM(F512),'LP RMH'!$A:$A,0))),0),IFERROR(INDEX('LP MONCAR'!$E:$E,MATCH(TRIM(F512),'LP MONCAR'!$A:$A,0)),0)))</f>
        <v/>
      </c>
      <c r="K512" s="16">
        <f>IF(AND(ISNUMBER(G512),ISNUMBER(J512),G512&gt;0,J512&gt;0),G512*J512,"")</f>
        <v/>
      </c>
      <c r="L512" s="16">
        <f>IF(D512&lt;&gt;"",TEXT(D512,"YYYY-MM"),"")</f>
        <v/>
      </c>
      <c r="M512" s="16" t="n"/>
      <c r="N512" s="16">
        <f>IFERROR(IF(ISNUMBER(G512),G512*VLOOKUP(F512,Costos!$A$4:$E$320,5,0),0),0)</f>
        <v/>
      </c>
      <c r="O512" s="16">
        <f>IF(K512&lt;&gt;"",K512-N512,"")</f>
        <v/>
      </c>
      <c r="P512" s="16">
        <f>IFERROR(VLOOKUP(F512,'LP MONCAR'!$A$4:$C$500,3,0),"")</f>
        <v/>
      </c>
      <c r="Q512" s="16">
        <f>IFERROR(VLOOKUP(H512,Clientes!$A$2:$H$400,2,0),"")</f>
        <v/>
      </c>
      <c r="R512" s="16">
        <f>IFERROR(VLOOKUP(H512,Clientes!$A$2:$H$400,3,0),"")</f>
        <v/>
      </c>
      <c r="S512" s="16">
        <f>IFERROR(VLOOKUP(H512,Clientes!$A$2:$H$400,4,0),"")</f>
        <v/>
      </c>
      <c r="T512" s="16">
        <f>IFERROR(VLOOKUP(H512,Clientes!$A$2:$H$400,5,0),"")</f>
        <v/>
      </c>
      <c r="U512" s="16">
        <f>IFERROR(VLOOKUP(F512,'LP MONCAR'!$A$4:$D$500,4,0),"")</f>
        <v/>
      </c>
    </row>
    <row r="513">
      <c r="A513" s="37" t="n"/>
      <c r="B513" s="16" t="n"/>
      <c r="C513" s="16" t="n"/>
      <c r="D513" s="16" t="n"/>
      <c r="E513" s="16">
        <f>IFERROR(IF(LEFT(F513,2)="RM","RMH","MONCAR"),"")</f>
        <v/>
      </c>
      <c r="F513" s="16" t="n"/>
      <c r="G513" s="16" t="n"/>
      <c r="H513" s="16" t="n"/>
      <c r="I513" s="16" t="n"/>
      <c r="J513" s="16">
        <f>IF(TRIM(F513)="","",IF(LEFT(TRIM(F513),2)="RM",IFERROR(IF(D513&gt;=DATE(2026,4,1),INDEX('LP RMH'!$F:$F,MATCH(TRIM(F513),'LP RMH'!$A:$A,0)),INDEX('LP RMH'!$E:$E,MATCH(TRIM(F513),'LP RMH'!$A:$A,0))),0),IFERROR(INDEX('LP MONCAR'!$E:$E,MATCH(TRIM(F513),'LP MONCAR'!$A:$A,0)),0)))</f>
        <v/>
      </c>
      <c r="K513" s="16">
        <f>IF(AND(ISNUMBER(G513),ISNUMBER(J513),G513&gt;0,J513&gt;0),G513*J513,"")</f>
        <v/>
      </c>
      <c r="L513" s="16">
        <f>IF(D513&lt;&gt;"",TEXT(D513,"YYYY-MM"),"")</f>
        <v/>
      </c>
      <c r="M513" s="16" t="n"/>
      <c r="N513" s="16">
        <f>IFERROR(IF(ISNUMBER(G513),G513*VLOOKUP(F513,Costos!$A$4:$E$320,5,0),0),0)</f>
        <v/>
      </c>
      <c r="O513" s="16">
        <f>IF(K513&lt;&gt;"",K513-N513,"")</f>
        <v/>
      </c>
      <c r="P513" s="16">
        <f>IFERROR(VLOOKUP(F513,'LP MONCAR'!$A$4:$C$500,3,0),"")</f>
        <v/>
      </c>
      <c r="Q513" s="16">
        <f>IFERROR(VLOOKUP(H513,Clientes!$A$2:$H$400,2,0),"")</f>
        <v/>
      </c>
      <c r="R513" s="16">
        <f>IFERROR(VLOOKUP(H513,Clientes!$A$2:$H$400,3,0),"")</f>
        <v/>
      </c>
      <c r="S513" s="16">
        <f>IFERROR(VLOOKUP(H513,Clientes!$A$2:$H$400,4,0),"")</f>
        <v/>
      </c>
      <c r="T513" s="16">
        <f>IFERROR(VLOOKUP(H513,Clientes!$A$2:$H$400,5,0),"")</f>
        <v/>
      </c>
      <c r="U513" s="16">
        <f>IFERROR(VLOOKUP(F513,'LP MONCAR'!$A$4:$D$500,4,0),"")</f>
        <v/>
      </c>
    </row>
    <row r="514">
      <c r="A514" s="37" t="n"/>
      <c r="B514" s="16" t="n"/>
      <c r="C514" s="16" t="n"/>
      <c r="D514" s="16" t="n"/>
      <c r="E514" s="16">
        <f>IFERROR(IF(LEFT(F514,2)="RM","RMH","MONCAR"),"")</f>
        <v/>
      </c>
      <c r="F514" s="16" t="n"/>
      <c r="G514" s="16" t="n"/>
      <c r="H514" s="16" t="n"/>
      <c r="I514" s="16" t="n"/>
      <c r="J514" s="16">
        <f>IF(TRIM(F514)="","",IF(LEFT(TRIM(F514),2)="RM",IFERROR(IF(D514&gt;=DATE(2026,4,1),INDEX('LP RMH'!$F:$F,MATCH(TRIM(F514),'LP RMH'!$A:$A,0)),INDEX('LP RMH'!$E:$E,MATCH(TRIM(F514),'LP RMH'!$A:$A,0))),0),IFERROR(INDEX('LP MONCAR'!$E:$E,MATCH(TRIM(F514),'LP MONCAR'!$A:$A,0)),0)))</f>
        <v/>
      </c>
      <c r="K514" s="16">
        <f>IF(AND(ISNUMBER(G514),ISNUMBER(J514),G514&gt;0,J514&gt;0),G514*J514,"")</f>
        <v/>
      </c>
      <c r="L514" s="16">
        <f>IF(D514&lt;&gt;"",TEXT(D514,"YYYY-MM"),"")</f>
        <v/>
      </c>
      <c r="M514" s="16" t="n"/>
      <c r="N514" s="16">
        <f>IFERROR(IF(ISNUMBER(G514),G514*VLOOKUP(F514,Costos!$A$4:$E$320,5,0),0),0)</f>
        <v/>
      </c>
      <c r="O514" s="16">
        <f>IF(K514&lt;&gt;"",K514-N514,"")</f>
        <v/>
      </c>
      <c r="P514" s="16">
        <f>IFERROR(VLOOKUP(F514,'LP MONCAR'!$A$4:$C$500,3,0),"")</f>
        <v/>
      </c>
      <c r="Q514" s="16">
        <f>IFERROR(VLOOKUP(H514,Clientes!$A$2:$H$400,2,0),"")</f>
        <v/>
      </c>
      <c r="R514" s="16">
        <f>IFERROR(VLOOKUP(H514,Clientes!$A$2:$H$400,3,0),"")</f>
        <v/>
      </c>
      <c r="S514" s="16">
        <f>IFERROR(VLOOKUP(H514,Clientes!$A$2:$H$400,4,0),"")</f>
        <v/>
      </c>
      <c r="T514" s="16">
        <f>IFERROR(VLOOKUP(H514,Clientes!$A$2:$H$400,5,0),"")</f>
        <v/>
      </c>
      <c r="U514" s="16">
        <f>IFERROR(VLOOKUP(F514,'LP MONCAR'!$A$4:$D$500,4,0),"")</f>
        <v/>
      </c>
    </row>
    <row r="515">
      <c r="A515" s="37" t="n"/>
      <c r="B515" s="16" t="n"/>
      <c r="C515" s="16" t="n"/>
      <c r="D515" s="16" t="n"/>
      <c r="E515" s="16">
        <f>IFERROR(IF(LEFT(F515,2)="RM","RMH","MONCAR"),"")</f>
        <v/>
      </c>
      <c r="F515" s="16" t="n"/>
      <c r="G515" s="16" t="n"/>
      <c r="H515" s="16" t="n"/>
      <c r="I515" s="16" t="n"/>
      <c r="J515" s="16">
        <f>IF(TRIM(F515)="","",IF(LEFT(TRIM(F515),2)="RM",IFERROR(IF(D515&gt;=DATE(2026,4,1),INDEX('LP RMH'!$F:$F,MATCH(TRIM(F515),'LP RMH'!$A:$A,0)),INDEX('LP RMH'!$E:$E,MATCH(TRIM(F515),'LP RMH'!$A:$A,0))),0),IFERROR(INDEX('LP MONCAR'!$E:$E,MATCH(TRIM(F515),'LP MONCAR'!$A:$A,0)),0)))</f>
        <v/>
      </c>
      <c r="K515" s="16">
        <f>IF(AND(ISNUMBER(G515),ISNUMBER(J515),G515&gt;0,J515&gt;0),G515*J515,"")</f>
        <v/>
      </c>
      <c r="L515" s="16">
        <f>IF(D515&lt;&gt;"",TEXT(D515,"YYYY-MM"),"")</f>
        <v/>
      </c>
      <c r="M515" s="16" t="n"/>
      <c r="N515" s="16">
        <f>IFERROR(IF(ISNUMBER(G515),G515*VLOOKUP(F515,Costos!$A$4:$E$320,5,0),0),0)</f>
        <v/>
      </c>
      <c r="O515" s="16">
        <f>IF(K515&lt;&gt;"",K515-N515,"")</f>
        <v/>
      </c>
      <c r="P515" s="16">
        <f>IFERROR(VLOOKUP(F515,'LP MONCAR'!$A$4:$C$500,3,0),"")</f>
        <v/>
      </c>
      <c r="Q515" s="16">
        <f>IFERROR(VLOOKUP(H515,Clientes!$A$2:$H$400,2,0),"")</f>
        <v/>
      </c>
      <c r="R515" s="16">
        <f>IFERROR(VLOOKUP(H515,Clientes!$A$2:$H$400,3,0),"")</f>
        <v/>
      </c>
      <c r="S515" s="16">
        <f>IFERROR(VLOOKUP(H515,Clientes!$A$2:$H$400,4,0),"")</f>
        <v/>
      </c>
      <c r="T515" s="16">
        <f>IFERROR(VLOOKUP(H515,Clientes!$A$2:$H$400,5,0),"")</f>
        <v/>
      </c>
      <c r="U515" s="16">
        <f>IFERROR(VLOOKUP(F515,'LP MONCAR'!$A$4:$D$500,4,0),"")</f>
        <v/>
      </c>
    </row>
    <row r="516">
      <c r="A516" s="37" t="n"/>
      <c r="B516" s="16" t="n"/>
      <c r="C516" s="16" t="n"/>
      <c r="D516" s="16" t="n"/>
      <c r="E516" s="16">
        <f>IFERROR(IF(LEFT(F516,2)="RM","RMH","MONCAR"),"")</f>
        <v/>
      </c>
      <c r="F516" s="16" t="n"/>
      <c r="G516" s="16" t="n"/>
      <c r="H516" s="16" t="n"/>
      <c r="I516" s="16" t="n"/>
      <c r="J516" s="16">
        <f>IF(TRIM(F516)="","",IF(LEFT(TRIM(F516),2)="RM",IFERROR(IF(D516&gt;=DATE(2026,4,1),INDEX('LP RMH'!$F:$F,MATCH(TRIM(F516),'LP RMH'!$A:$A,0)),INDEX('LP RMH'!$E:$E,MATCH(TRIM(F516),'LP RMH'!$A:$A,0))),0),IFERROR(INDEX('LP MONCAR'!$E:$E,MATCH(TRIM(F516),'LP MONCAR'!$A:$A,0)),0)))</f>
        <v/>
      </c>
      <c r="K516" s="16">
        <f>IF(AND(ISNUMBER(G516),ISNUMBER(J516),G516&gt;0,J516&gt;0),G516*J516,"")</f>
        <v/>
      </c>
      <c r="L516" s="16">
        <f>IF(D516&lt;&gt;"",TEXT(D516,"YYYY-MM"),"")</f>
        <v/>
      </c>
      <c r="M516" s="16" t="n"/>
      <c r="N516" s="16">
        <f>IFERROR(IF(ISNUMBER(G516),G516*VLOOKUP(F516,Costos!$A$4:$E$320,5,0),0),0)</f>
        <v/>
      </c>
      <c r="O516" s="16">
        <f>IF(K516&lt;&gt;"",K516-N516,"")</f>
        <v/>
      </c>
      <c r="P516" s="16">
        <f>IFERROR(VLOOKUP(F516,'LP MONCAR'!$A$4:$C$500,3,0),"")</f>
        <v/>
      </c>
      <c r="Q516" s="16">
        <f>IFERROR(VLOOKUP(H516,Clientes!$A$2:$H$400,2,0),"")</f>
        <v/>
      </c>
      <c r="R516" s="16">
        <f>IFERROR(VLOOKUP(H516,Clientes!$A$2:$H$400,3,0),"")</f>
        <v/>
      </c>
      <c r="S516" s="16">
        <f>IFERROR(VLOOKUP(H516,Clientes!$A$2:$H$400,4,0),"")</f>
        <v/>
      </c>
      <c r="T516" s="16">
        <f>IFERROR(VLOOKUP(H516,Clientes!$A$2:$H$400,5,0),"")</f>
        <v/>
      </c>
      <c r="U516" s="16">
        <f>IFERROR(VLOOKUP(F516,'LP MONCAR'!$A$4:$D$500,4,0),"")</f>
        <v/>
      </c>
    </row>
    <row r="517">
      <c r="A517" s="37" t="n"/>
      <c r="B517" s="16" t="n"/>
      <c r="C517" s="16" t="n"/>
      <c r="D517" s="16" t="n"/>
      <c r="E517" s="16">
        <f>IFERROR(IF(LEFT(F517,2)="RM","RMH","MONCAR"),"")</f>
        <v/>
      </c>
      <c r="F517" s="16" t="n"/>
      <c r="G517" s="16" t="n"/>
      <c r="H517" s="16" t="n"/>
      <c r="I517" s="16" t="n"/>
      <c r="J517" s="16">
        <f>IF(TRIM(F517)="","",IF(LEFT(TRIM(F517),2)="RM",IFERROR(IF(D517&gt;=DATE(2026,4,1),INDEX('LP RMH'!$F:$F,MATCH(TRIM(F517),'LP RMH'!$A:$A,0)),INDEX('LP RMH'!$E:$E,MATCH(TRIM(F517),'LP RMH'!$A:$A,0))),0),IFERROR(INDEX('LP MONCAR'!$E:$E,MATCH(TRIM(F517),'LP MONCAR'!$A:$A,0)),0)))</f>
        <v/>
      </c>
      <c r="K517" s="16">
        <f>IF(AND(ISNUMBER(G517),ISNUMBER(J517),G517&gt;0,J517&gt;0),G517*J517,"")</f>
        <v/>
      </c>
      <c r="L517" s="16">
        <f>IF(D517&lt;&gt;"",TEXT(D517,"YYYY-MM"),"")</f>
        <v/>
      </c>
      <c r="M517" s="16" t="n"/>
      <c r="N517" s="16">
        <f>IFERROR(IF(ISNUMBER(G517),G517*VLOOKUP(F517,Costos!$A$4:$E$320,5,0),0),0)</f>
        <v/>
      </c>
      <c r="O517" s="16">
        <f>IF(K517&lt;&gt;"",K517-N517,"")</f>
        <v/>
      </c>
      <c r="P517" s="16">
        <f>IFERROR(VLOOKUP(F517,'LP MONCAR'!$A$4:$C$500,3,0),"")</f>
        <v/>
      </c>
      <c r="Q517" s="16">
        <f>IFERROR(VLOOKUP(H517,Clientes!$A$2:$H$400,2,0),"")</f>
        <v/>
      </c>
      <c r="R517" s="16">
        <f>IFERROR(VLOOKUP(H517,Clientes!$A$2:$H$400,3,0),"")</f>
        <v/>
      </c>
      <c r="S517" s="16">
        <f>IFERROR(VLOOKUP(H517,Clientes!$A$2:$H$400,4,0),"")</f>
        <v/>
      </c>
      <c r="T517" s="16">
        <f>IFERROR(VLOOKUP(H517,Clientes!$A$2:$H$400,5,0),"")</f>
        <v/>
      </c>
      <c r="U517" s="16">
        <f>IFERROR(VLOOKUP(F517,'LP MONCAR'!$A$4:$D$500,4,0),"")</f>
        <v/>
      </c>
    </row>
    <row r="518">
      <c r="A518" s="37" t="n"/>
      <c r="B518" s="16" t="n"/>
      <c r="C518" s="16" t="n"/>
      <c r="D518" s="16" t="n"/>
      <c r="E518" s="16">
        <f>IFERROR(IF(LEFT(F518,2)="RM","RMH","MONCAR"),"")</f>
        <v/>
      </c>
      <c r="F518" s="16" t="n"/>
      <c r="G518" s="16" t="n"/>
      <c r="H518" s="16" t="n"/>
      <c r="I518" s="16" t="n"/>
      <c r="J518" s="16">
        <f>IF(TRIM(F518)="","",IF(LEFT(TRIM(F518),2)="RM",IFERROR(IF(D518&gt;=DATE(2026,4,1),INDEX('LP RMH'!$F:$F,MATCH(TRIM(F518),'LP RMH'!$A:$A,0)),INDEX('LP RMH'!$E:$E,MATCH(TRIM(F518),'LP RMH'!$A:$A,0))),0),IFERROR(INDEX('LP MONCAR'!$E:$E,MATCH(TRIM(F518),'LP MONCAR'!$A:$A,0)),0)))</f>
        <v/>
      </c>
      <c r="K518" s="16">
        <f>IF(AND(ISNUMBER(G518),ISNUMBER(J518),G518&gt;0,J518&gt;0),G518*J518,"")</f>
        <v/>
      </c>
      <c r="L518" s="16">
        <f>IF(D518&lt;&gt;"",TEXT(D518,"YYYY-MM"),"")</f>
        <v/>
      </c>
      <c r="M518" s="16" t="n"/>
      <c r="N518" s="16">
        <f>IFERROR(IF(ISNUMBER(G518),G518*VLOOKUP(F518,Costos!$A$4:$E$320,5,0),0),0)</f>
        <v/>
      </c>
      <c r="O518" s="16">
        <f>IF(K518&lt;&gt;"",K518-N518,"")</f>
        <v/>
      </c>
      <c r="P518" s="16">
        <f>IFERROR(VLOOKUP(F518,'LP MONCAR'!$A$4:$C$500,3,0),"")</f>
        <v/>
      </c>
      <c r="Q518" s="16">
        <f>IFERROR(VLOOKUP(H518,Clientes!$A$2:$H$400,2,0),"")</f>
        <v/>
      </c>
      <c r="R518" s="16">
        <f>IFERROR(VLOOKUP(H518,Clientes!$A$2:$H$400,3,0),"")</f>
        <v/>
      </c>
      <c r="S518" s="16">
        <f>IFERROR(VLOOKUP(H518,Clientes!$A$2:$H$400,4,0),"")</f>
        <v/>
      </c>
      <c r="T518" s="16">
        <f>IFERROR(VLOOKUP(H518,Clientes!$A$2:$H$400,5,0),"")</f>
        <v/>
      </c>
      <c r="U518" s="16">
        <f>IFERROR(VLOOKUP(F518,'LP MONCAR'!$A$4:$D$500,4,0),"")</f>
        <v/>
      </c>
    </row>
    <row r="519">
      <c r="A519" s="37" t="n"/>
      <c r="B519" s="16" t="n"/>
      <c r="C519" s="16" t="n"/>
      <c r="D519" s="16" t="n"/>
      <c r="E519" s="16">
        <f>IFERROR(IF(LEFT(F519,2)="RM","RMH","MONCAR"),"")</f>
        <v/>
      </c>
      <c r="F519" s="16" t="n"/>
      <c r="G519" s="16" t="n"/>
      <c r="H519" s="16" t="n"/>
      <c r="I519" s="16" t="n"/>
      <c r="J519" s="16">
        <f>IF(TRIM(F519)="","",IF(LEFT(TRIM(F519),2)="RM",IFERROR(IF(D519&gt;=DATE(2026,4,1),INDEX('LP RMH'!$F:$F,MATCH(TRIM(F519),'LP RMH'!$A:$A,0)),INDEX('LP RMH'!$E:$E,MATCH(TRIM(F519),'LP RMH'!$A:$A,0))),0),IFERROR(INDEX('LP MONCAR'!$E:$E,MATCH(TRIM(F519),'LP MONCAR'!$A:$A,0)),0)))</f>
        <v/>
      </c>
      <c r="K519" s="16">
        <f>IF(AND(ISNUMBER(G519),ISNUMBER(J519),G519&gt;0,J519&gt;0),G519*J519,"")</f>
        <v/>
      </c>
      <c r="L519" s="16">
        <f>IF(D519&lt;&gt;"",TEXT(D519,"YYYY-MM"),"")</f>
        <v/>
      </c>
      <c r="M519" s="16" t="n"/>
      <c r="N519" s="16">
        <f>IFERROR(IF(ISNUMBER(G519),G519*VLOOKUP(F519,Costos!$A$4:$E$320,5,0),0),0)</f>
        <v/>
      </c>
      <c r="O519" s="16">
        <f>IF(K519&lt;&gt;"",K519-N519,"")</f>
        <v/>
      </c>
      <c r="P519" s="16">
        <f>IFERROR(VLOOKUP(F519,'LP MONCAR'!$A$4:$C$500,3,0),"")</f>
        <v/>
      </c>
      <c r="Q519" s="16">
        <f>IFERROR(VLOOKUP(H519,Clientes!$A$2:$H$400,2,0),"")</f>
        <v/>
      </c>
      <c r="R519" s="16">
        <f>IFERROR(VLOOKUP(H519,Clientes!$A$2:$H$400,3,0),"")</f>
        <v/>
      </c>
      <c r="S519" s="16">
        <f>IFERROR(VLOOKUP(H519,Clientes!$A$2:$H$400,4,0),"")</f>
        <v/>
      </c>
      <c r="T519" s="16">
        <f>IFERROR(VLOOKUP(H519,Clientes!$A$2:$H$400,5,0),"")</f>
        <v/>
      </c>
      <c r="U519" s="16">
        <f>IFERROR(VLOOKUP(F519,'LP MONCAR'!$A$4:$D$500,4,0),"")</f>
        <v/>
      </c>
    </row>
    <row r="520">
      <c r="A520" s="37" t="n"/>
      <c r="B520" s="16" t="n"/>
      <c r="C520" s="16" t="n"/>
      <c r="D520" s="16" t="n"/>
      <c r="E520" s="16">
        <f>IFERROR(IF(LEFT(F520,2)="RM","RMH","MONCAR"),"")</f>
        <v/>
      </c>
      <c r="F520" s="16" t="n"/>
      <c r="G520" s="16" t="n"/>
      <c r="H520" s="16" t="n"/>
      <c r="I520" s="16" t="n"/>
      <c r="J520" s="16">
        <f>IF(TRIM(F520)="","",IF(LEFT(TRIM(F520),2)="RM",IFERROR(IF(D520&gt;=DATE(2026,4,1),INDEX('LP RMH'!$F:$F,MATCH(TRIM(F520),'LP RMH'!$A:$A,0)),INDEX('LP RMH'!$E:$E,MATCH(TRIM(F520),'LP RMH'!$A:$A,0))),0),IFERROR(INDEX('LP MONCAR'!$E:$E,MATCH(TRIM(F520),'LP MONCAR'!$A:$A,0)),0)))</f>
        <v/>
      </c>
      <c r="K520" s="16">
        <f>IF(AND(ISNUMBER(G520),ISNUMBER(J520),G520&gt;0,J520&gt;0),G520*J520,"")</f>
        <v/>
      </c>
      <c r="L520" s="16">
        <f>IF(D520&lt;&gt;"",TEXT(D520,"YYYY-MM"),"")</f>
        <v/>
      </c>
      <c r="M520" s="16" t="n"/>
      <c r="N520" s="16">
        <f>IFERROR(IF(ISNUMBER(G520),G520*VLOOKUP(F520,Costos!$A$4:$E$320,5,0),0),0)</f>
        <v/>
      </c>
      <c r="O520" s="16">
        <f>IF(K520&lt;&gt;"",K520-N520,"")</f>
        <v/>
      </c>
      <c r="P520" s="16">
        <f>IFERROR(VLOOKUP(F520,'LP MONCAR'!$A$4:$C$500,3,0),"")</f>
        <v/>
      </c>
      <c r="Q520" s="16">
        <f>IFERROR(VLOOKUP(H520,Clientes!$A$2:$H$400,2,0),"")</f>
        <v/>
      </c>
      <c r="R520" s="16">
        <f>IFERROR(VLOOKUP(H520,Clientes!$A$2:$H$400,3,0),"")</f>
        <v/>
      </c>
      <c r="S520" s="16">
        <f>IFERROR(VLOOKUP(H520,Clientes!$A$2:$H$400,4,0),"")</f>
        <v/>
      </c>
      <c r="T520" s="16">
        <f>IFERROR(VLOOKUP(H520,Clientes!$A$2:$H$400,5,0),"")</f>
        <v/>
      </c>
      <c r="U520" s="16">
        <f>IFERROR(VLOOKUP(F520,'LP MONCAR'!$A$4:$D$500,4,0),"")</f>
        <v/>
      </c>
    </row>
    <row r="521">
      <c r="A521" s="37" t="n"/>
      <c r="B521" s="16" t="n"/>
      <c r="C521" s="16" t="n"/>
      <c r="D521" s="16" t="n"/>
      <c r="E521" s="16">
        <f>IFERROR(IF(LEFT(F521,2)="RM","RMH","MONCAR"),"")</f>
        <v/>
      </c>
      <c r="F521" s="16" t="n"/>
      <c r="G521" s="16" t="n"/>
      <c r="H521" s="16" t="n"/>
      <c r="I521" s="16" t="n"/>
      <c r="J521" s="16">
        <f>IF(TRIM(F521)="","",IF(LEFT(TRIM(F521),2)="RM",IFERROR(IF(D521&gt;=DATE(2026,4,1),INDEX('LP RMH'!$F:$F,MATCH(TRIM(F521),'LP RMH'!$A:$A,0)),INDEX('LP RMH'!$E:$E,MATCH(TRIM(F521),'LP RMH'!$A:$A,0))),0),IFERROR(INDEX('LP MONCAR'!$E:$E,MATCH(TRIM(F521),'LP MONCAR'!$A:$A,0)),0)))</f>
        <v/>
      </c>
      <c r="K521" s="16">
        <f>IF(AND(ISNUMBER(G521),ISNUMBER(J521),G521&gt;0,J521&gt;0),G521*J521,"")</f>
        <v/>
      </c>
      <c r="L521" s="16">
        <f>IF(D521&lt;&gt;"",TEXT(D521,"YYYY-MM"),"")</f>
        <v/>
      </c>
      <c r="M521" s="16" t="n"/>
      <c r="N521" s="16">
        <f>IFERROR(IF(ISNUMBER(G521),G521*VLOOKUP(F521,Costos!$A$4:$E$320,5,0),0),0)</f>
        <v/>
      </c>
      <c r="O521" s="16">
        <f>IF(K521&lt;&gt;"",K521-N521,"")</f>
        <v/>
      </c>
      <c r="P521" s="16">
        <f>IFERROR(VLOOKUP(F521,'LP MONCAR'!$A$4:$C$500,3,0),"")</f>
        <v/>
      </c>
      <c r="Q521" s="16">
        <f>IFERROR(VLOOKUP(H521,Clientes!$A$2:$H$400,2,0),"")</f>
        <v/>
      </c>
      <c r="R521" s="16">
        <f>IFERROR(VLOOKUP(H521,Clientes!$A$2:$H$400,3,0),"")</f>
        <v/>
      </c>
      <c r="S521" s="16">
        <f>IFERROR(VLOOKUP(H521,Clientes!$A$2:$H$400,4,0),"")</f>
        <v/>
      </c>
      <c r="T521" s="16">
        <f>IFERROR(VLOOKUP(H521,Clientes!$A$2:$H$400,5,0),"")</f>
        <v/>
      </c>
      <c r="U521" s="16">
        <f>IFERROR(VLOOKUP(F521,'LP MONCAR'!$A$4:$D$500,4,0),"")</f>
        <v/>
      </c>
    </row>
    <row r="522">
      <c r="A522" s="37" t="n"/>
      <c r="B522" s="16" t="n"/>
      <c r="C522" s="16" t="n"/>
      <c r="D522" s="16" t="n"/>
      <c r="E522" s="16">
        <f>IFERROR(IF(LEFT(F522,2)="RM","RMH","MONCAR"),"")</f>
        <v/>
      </c>
      <c r="F522" s="16" t="n"/>
      <c r="G522" s="16" t="n"/>
      <c r="H522" s="16" t="n"/>
      <c r="I522" s="16" t="n"/>
      <c r="J522" s="16">
        <f>IF(TRIM(F522)="","",IF(LEFT(TRIM(F522),2)="RM",IFERROR(IF(D522&gt;=DATE(2026,4,1),INDEX('LP RMH'!$F:$F,MATCH(TRIM(F522),'LP RMH'!$A:$A,0)),INDEX('LP RMH'!$E:$E,MATCH(TRIM(F522),'LP RMH'!$A:$A,0))),0),IFERROR(INDEX('LP MONCAR'!$E:$E,MATCH(TRIM(F522),'LP MONCAR'!$A:$A,0)),0)))</f>
        <v/>
      </c>
      <c r="K522" s="16">
        <f>IF(AND(ISNUMBER(G522),ISNUMBER(J522),G522&gt;0,J522&gt;0),G522*J522,"")</f>
        <v/>
      </c>
      <c r="L522" s="16">
        <f>IF(D522&lt;&gt;"",TEXT(D522,"YYYY-MM"),"")</f>
        <v/>
      </c>
      <c r="M522" s="16" t="n"/>
      <c r="N522" s="16">
        <f>IFERROR(IF(ISNUMBER(G522),G522*VLOOKUP(F522,Costos!$A$4:$E$320,5,0),0),0)</f>
        <v/>
      </c>
      <c r="O522" s="16">
        <f>IF(K522&lt;&gt;"",K522-N522,"")</f>
        <v/>
      </c>
      <c r="P522" s="16">
        <f>IFERROR(VLOOKUP(F522,'LP MONCAR'!$A$4:$C$500,3,0),"")</f>
        <v/>
      </c>
      <c r="Q522" s="16">
        <f>IFERROR(VLOOKUP(H522,Clientes!$A$2:$H$400,2,0),"")</f>
        <v/>
      </c>
      <c r="R522" s="16">
        <f>IFERROR(VLOOKUP(H522,Clientes!$A$2:$H$400,3,0),"")</f>
        <v/>
      </c>
      <c r="S522" s="16">
        <f>IFERROR(VLOOKUP(H522,Clientes!$A$2:$H$400,4,0),"")</f>
        <v/>
      </c>
      <c r="T522" s="16">
        <f>IFERROR(VLOOKUP(H522,Clientes!$A$2:$H$400,5,0),"")</f>
        <v/>
      </c>
      <c r="U522" s="16">
        <f>IFERROR(VLOOKUP(F522,'LP MONCAR'!$A$4:$D$500,4,0),"")</f>
        <v/>
      </c>
    </row>
    <row r="523">
      <c r="A523" s="37" t="n"/>
      <c r="C523" s="16" t="n"/>
      <c r="E523" s="16">
        <f>IFERROR(IF(LEFT(F523,2)="RM","RMH","MONCAR"),"")</f>
        <v/>
      </c>
      <c r="J523">
        <f>IF(TRIM(F523)="","",IF(LEFT(TRIM(F523),2)="RM",IFERROR(IF(D523&gt;=DATE(2026,4,1),INDEX('LP RMH'!$F:$F,MATCH(TRIM(F523),'LP RMH'!$A:$A,0)),INDEX('LP RMH'!$E:$E,MATCH(TRIM(F523),'LP RMH'!$A:$A,0))),0),IFERROR(INDEX('LP MONCAR'!$E:$E,MATCH(TRIM(F523),'LP MONCAR'!$A:$A,0)),0)))</f>
        <v/>
      </c>
    </row>
    <row r="524">
      <c r="A524" s="37" t="n"/>
      <c r="E524" s="16">
        <f>IFERROR(IF(LEFT(F524,2)="RM","RMH","MONCAR"),"")</f>
        <v/>
      </c>
      <c r="J524">
        <f>IF(TRIM(F524)="","",IF(LEFT(TRIM(F524),2)="RM",IFERROR(IF(D524&gt;=DATE(2026,4,1),INDEX('LP RMH'!$F:$F,MATCH(TRIM(F524),'LP RMH'!$A:$A,0)),INDEX('LP RMH'!$E:$E,MATCH(TRIM(F524),'LP RMH'!$A:$A,0))),0),IFERROR(INDEX('LP MONCAR'!$E:$E,MATCH(TRIM(F524),'LP MONCAR'!$A:$A,0)),0)))</f>
        <v/>
      </c>
    </row>
    <row r="525">
      <c r="A525" s="37" t="n"/>
      <c r="E525" s="16">
        <f>IFERROR(IF(LEFT(F525,2)="RM","RMH","MONCAR"),"")</f>
        <v/>
      </c>
      <c r="J525">
        <f>IF(TRIM(F525)="","",IF(LEFT(TRIM(F525),2)="RM",IFERROR(IF(D525&gt;=DATE(2026,4,1),INDEX('LP RMH'!$F:$F,MATCH(TRIM(F525),'LP RMH'!$A:$A,0)),INDEX('LP RMH'!$E:$E,MATCH(TRIM(F525),'LP RMH'!$A:$A,0))),0),IFERROR(INDEX('LP MONCAR'!$E:$E,MATCH(TRIM(F525),'LP MONCAR'!$A:$A,0)),0)))</f>
        <v/>
      </c>
    </row>
    <row r="526">
      <c r="A526" s="37" t="n"/>
      <c r="E526" s="16">
        <f>IFERROR(IF(LEFT(F526,2)="RM","RMH","MONCAR"),"")</f>
        <v/>
      </c>
      <c r="J526">
        <f>IF(TRIM(F526)="","",IF(LEFT(TRIM(F526),2)="RM",IFERROR(IF(D526&gt;=DATE(2026,4,1),INDEX('LP RMH'!$F:$F,MATCH(TRIM(F526),'LP RMH'!$A:$A,0)),INDEX('LP RMH'!$E:$E,MATCH(TRIM(F526),'LP RMH'!$A:$A,0))),0),IFERROR(INDEX('LP MONCAR'!$E:$E,MATCH(TRIM(F526),'LP MONCAR'!$A:$A,0)),0)))</f>
        <v/>
      </c>
    </row>
    <row r="527">
      <c r="A527" s="37" t="n"/>
      <c r="E527" s="16">
        <f>IFERROR(IF(LEFT(F527,2)="RM","RMH","MONCAR"),"")</f>
        <v/>
      </c>
      <c r="J527">
        <f>IF(TRIM(F527)="","",IF(LEFT(TRIM(F527),2)="RM",IFERROR(IF(D527&gt;=DATE(2026,4,1),INDEX('LP RMH'!$F:$F,MATCH(TRIM(F527),'LP RMH'!$A:$A,0)),INDEX('LP RMH'!$E:$E,MATCH(TRIM(F527),'LP RMH'!$A:$A,0))),0),IFERROR(INDEX('LP MONCAR'!$E:$E,MATCH(TRIM(F527),'LP MONCAR'!$A:$A,0)),0)))</f>
        <v/>
      </c>
    </row>
    <row r="528">
      <c r="A528" s="37" t="n"/>
      <c r="E528" s="16">
        <f>IFERROR(IF(LEFT(F528,2)="RM","RMH","MONCAR"),"")</f>
        <v/>
      </c>
      <c r="J528">
        <f>IF(TRIM(F528)="","",IF(LEFT(TRIM(F528),2)="RM",IFERROR(IF(D528&gt;=DATE(2026,4,1),INDEX('LP RMH'!$F:$F,MATCH(TRIM(F528),'LP RMH'!$A:$A,0)),INDEX('LP RMH'!$E:$E,MATCH(TRIM(F528),'LP RMH'!$A:$A,0))),0),IFERROR(INDEX('LP MONCAR'!$E:$E,MATCH(TRIM(F528),'LP MONCAR'!$A:$A,0)),0)))</f>
        <v/>
      </c>
    </row>
    <row r="529">
      <c r="A529" s="37" t="n"/>
      <c r="E529" s="16">
        <f>IFERROR(IF(LEFT(F529,2)="RM","RMH","MONCAR"),"")</f>
        <v/>
      </c>
      <c r="J529">
        <f>IF(TRIM(F529)="","",IF(LEFT(TRIM(F529),2)="RM",IFERROR(IF(D529&gt;=DATE(2026,4,1),INDEX('LP RMH'!$F:$F,MATCH(TRIM(F529),'LP RMH'!$A:$A,0)),INDEX('LP RMH'!$E:$E,MATCH(TRIM(F529),'LP RMH'!$A:$A,0))),0),IFERROR(INDEX('LP MONCAR'!$E:$E,MATCH(TRIM(F529),'LP MONCAR'!$A:$A,0)),0)))</f>
        <v/>
      </c>
    </row>
    <row r="530">
      <c r="A530" s="37" t="n"/>
      <c r="E530" s="16">
        <f>IFERROR(IF(LEFT(F530,2)="RM","RMH","MONCAR"),"")</f>
        <v/>
      </c>
      <c r="J530">
        <f>IF(TRIM(F530)="","",IF(LEFT(TRIM(F530),2)="RM",IFERROR(IF(D530&gt;=DATE(2026,4,1),INDEX('LP RMH'!$F:$F,MATCH(TRIM(F530),'LP RMH'!$A:$A,0)),INDEX('LP RMH'!$E:$E,MATCH(TRIM(F530),'LP RMH'!$A:$A,0))),0),IFERROR(INDEX('LP MONCAR'!$E:$E,MATCH(TRIM(F530),'LP MONCAR'!$A:$A,0)),0)))</f>
        <v/>
      </c>
    </row>
    <row r="531">
      <c r="A531" s="37" t="n"/>
      <c r="E531" s="16">
        <f>IFERROR(IF(LEFT(F531,2)="RM","RMH","MONCAR"),"")</f>
        <v/>
      </c>
      <c r="J531">
        <f>IF(TRIM(F531)="","",IF(LEFT(TRIM(F531),2)="RM",IFERROR(IF(D531&gt;=DATE(2026,4,1),INDEX('LP RMH'!$F:$F,MATCH(TRIM(F531),'LP RMH'!$A:$A,0)),INDEX('LP RMH'!$E:$E,MATCH(TRIM(F531),'LP RMH'!$A:$A,0))),0),IFERROR(INDEX('LP MONCAR'!$E:$E,MATCH(TRIM(F531),'LP MONCAR'!$A:$A,0)),0)))</f>
        <v/>
      </c>
    </row>
    <row r="532">
      <c r="A532" s="37" t="n"/>
      <c r="E532" s="16">
        <f>IFERROR(IF(LEFT(F532,2)="RM","RMH","MONCAR"),"")</f>
        <v/>
      </c>
      <c r="J532">
        <f>IF(TRIM(F532)="","",IF(LEFT(TRIM(F532),2)="RM",IFERROR(IF(D532&gt;=DATE(2026,4,1),INDEX('LP RMH'!$F:$F,MATCH(TRIM(F532),'LP RMH'!$A:$A,0)),INDEX('LP RMH'!$E:$E,MATCH(TRIM(F532),'LP RMH'!$A:$A,0))),0),IFERROR(INDEX('LP MONCAR'!$E:$E,MATCH(TRIM(F532),'LP MONCAR'!$A:$A,0)),0)))</f>
        <v/>
      </c>
    </row>
    <row r="533">
      <c r="A533" s="37" t="n"/>
      <c r="E533" s="16">
        <f>IFERROR(IF(LEFT(F533,2)="RM","RMH","MONCAR"),"")</f>
        <v/>
      </c>
      <c r="J533">
        <f>IF(TRIM(F533)="","",IF(LEFT(TRIM(F533),2)="RM",IFERROR(IF(D533&gt;=DATE(2026,4,1),INDEX('LP RMH'!$F:$F,MATCH(TRIM(F533),'LP RMH'!$A:$A,0)),INDEX('LP RMH'!$E:$E,MATCH(TRIM(F533),'LP RMH'!$A:$A,0))),0),IFERROR(INDEX('LP MONCAR'!$E:$E,MATCH(TRIM(F533),'LP MONCAR'!$A:$A,0)),0)))</f>
        <v/>
      </c>
    </row>
    <row r="534">
      <c r="A534" s="37" t="n"/>
      <c r="E534" s="16">
        <f>IFERROR(IF(LEFT(F534,2)="RM","RMH","MONCAR"),"")</f>
        <v/>
      </c>
      <c r="J534">
        <f>IF(TRIM(F534)="","",IF(LEFT(TRIM(F534),2)="RM",IFERROR(IF(D534&gt;=DATE(2026,4,1),INDEX('LP RMH'!$F:$F,MATCH(TRIM(F534),'LP RMH'!$A:$A,0)),INDEX('LP RMH'!$E:$E,MATCH(TRIM(F534),'LP RMH'!$A:$A,0))),0),IFERROR(INDEX('LP MONCAR'!$E:$E,MATCH(TRIM(F534),'LP MONCAR'!$A:$A,0)),0)))</f>
        <v/>
      </c>
    </row>
    <row r="535">
      <c r="A535" s="37" t="n"/>
      <c r="E535" s="16">
        <f>IFERROR(IF(LEFT(F535,2)="RM","RMH","MONCAR"),"")</f>
        <v/>
      </c>
      <c r="J535">
        <f>IF(TRIM(F535)="","",IF(LEFT(TRIM(F535),2)="RM",IFERROR(IF(D535&gt;=DATE(2026,4,1),INDEX('LP RMH'!$F:$F,MATCH(TRIM(F535),'LP RMH'!$A:$A,0)),INDEX('LP RMH'!$E:$E,MATCH(TRIM(F535),'LP RMH'!$A:$A,0))),0),IFERROR(INDEX('LP MONCAR'!$E:$E,MATCH(TRIM(F535),'LP MONCAR'!$A:$A,0)),0)))</f>
        <v/>
      </c>
    </row>
    <row r="536">
      <c r="A536" s="37" t="n"/>
      <c r="E536" s="16">
        <f>IFERROR(IF(LEFT(F536,2)="RM","RMH","MONCAR"),"")</f>
        <v/>
      </c>
      <c r="J536">
        <f>IF(TRIM(F536)="","",IF(LEFT(TRIM(F536),2)="RM",IFERROR(IF(D536&gt;=DATE(2026,4,1),INDEX('LP RMH'!$F:$F,MATCH(TRIM(F536),'LP RMH'!$A:$A,0)),INDEX('LP RMH'!$E:$E,MATCH(TRIM(F536),'LP RMH'!$A:$A,0))),0),IFERROR(INDEX('LP MONCAR'!$E:$E,MATCH(TRIM(F536),'LP MONCAR'!$A:$A,0)),0)))</f>
        <v/>
      </c>
    </row>
    <row r="537">
      <c r="A537" s="37" t="n"/>
      <c r="E537" s="16">
        <f>IFERROR(IF(LEFT(F537,2)="RM","RMH","MONCAR"),"")</f>
        <v/>
      </c>
      <c r="J537">
        <f>IF(TRIM(F537)="","",IF(LEFT(TRIM(F537),2)="RM",IFERROR(IF(D537&gt;=DATE(2026,4,1),INDEX('LP RMH'!$F:$F,MATCH(TRIM(F537),'LP RMH'!$A:$A,0)),INDEX('LP RMH'!$E:$E,MATCH(TRIM(F537),'LP RMH'!$A:$A,0))),0),IFERROR(INDEX('LP MONCAR'!$E:$E,MATCH(TRIM(F537),'LP MONCAR'!$A:$A,0)),0)))</f>
        <v/>
      </c>
    </row>
    <row r="538">
      <c r="A538" s="37" t="n"/>
      <c r="E538" s="16">
        <f>IFERROR(IF(LEFT(F538,2)="RM","RMH","MONCAR"),"")</f>
        <v/>
      </c>
      <c r="J538">
        <f>IF(TRIM(F538)="","",IF(LEFT(TRIM(F538),2)="RM",IFERROR(IF(D538&gt;=DATE(2026,4,1),INDEX('LP RMH'!$F:$F,MATCH(TRIM(F538),'LP RMH'!$A:$A,0)),INDEX('LP RMH'!$E:$E,MATCH(TRIM(F538),'LP RMH'!$A:$A,0))),0),IFERROR(INDEX('LP MONCAR'!$E:$E,MATCH(TRIM(F538),'LP MONCAR'!$A:$A,0)),0)))</f>
        <v/>
      </c>
    </row>
    <row r="539">
      <c r="A539" s="37" t="n"/>
      <c r="E539" s="16">
        <f>IFERROR(IF(LEFT(F539,2)="RM","RMH","MONCAR"),"")</f>
        <v/>
      </c>
      <c r="J539">
        <f>IF(TRIM(F539)="","",IF(LEFT(TRIM(F539),2)="RM",IFERROR(IF(D539&gt;=DATE(2026,4,1),INDEX('LP RMH'!$F:$F,MATCH(TRIM(F539),'LP RMH'!$A:$A,0)),INDEX('LP RMH'!$E:$E,MATCH(TRIM(F539),'LP RMH'!$A:$A,0))),0),IFERROR(INDEX('LP MONCAR'!$E:$E,MATCH(TRIM(F539),'LP MONCAR'!$A:$A,0)),0)))</f>
        <v/>
      </c>
    </row>
    <row r="540">
      <c r="A540" s="37" t="n"/>
      <c r="E540" s="16">
        <f>IFERROR(IF(LEFT(F540,2)="RM","RMH","MONCAR"),"")</f>
        <v/>
      </c>
      <c r="J540">
        <f>IF(TRIM(F540)="","",IF(LEFT(TRIM(F540),2)="RM",IFERROR(IF(D540&gt;=DATE(2026,4,1),INDEX('LP RMH'!$F:$F,MATCH(TRIM(F540),'LP RMH'!$A:$A,0)),INDEX('LP RMH'!$E:$E,MATCH(TRIM(F540),'LP RMH'!$A:$A,0))),0),IFERROR(INDEX('LP MONCAR'!$E:$E,MATCH(TRIM(F540),'LP MONCAR'!$A:$A,0)),0)))</f>
        <v/>
      </c>
    </row>
    <row r="541">
      <c r="A541" s="37" t="n"/>
      <c r="E541" s="16">
        <f>IFERROR(IF(LEFT(F541,2)="RM","RMH","MONCAR"),"")</f>
        <v/>
      </c>
      <c r="J541">
        <f>IF(TRIM(F541)="","",IF(LEFT(TRIM(F541),2)="RM",IFERROR(IF(D541&gt;=DATE(2026,4,1),INDEX('LP RMH'!$F:$F,MATCH(TRIM(F541),'LP RMH'!$A:$A,0)),INDEX('LP RMH'!$E:$E,MATCH(TRIM(F541),'LP RMH'!$A:$A,0))),0),IFERROR(INDEX('LP MONCAR'!$E:$E,MATCH(TRIM(F541),'LP MONCAR'!$A:$A,0)),0)))</f>
        <v/>
      </c>
    </row>
    <row r="542">
      <c r="A542" s="37" t="n"/>
      <c r="E542" s="16">
        <f>IFERROR(IF(LEFT(F542,2)="RM","RMH","MONCAR"),"")</f>
        <v/>
      </c>
      <c r="J542">
        <f>IF(TRIM(F542)="","",IF(LEFT(TRIM(F542),2)="RM",IFERROR(IF(D542&gt;=DATE(2026,4,1),INDEX('LP RMH'!$F:$F,MATCH(TRIM(F542),'LP RMH'!$A:$A,0)),INDEX('LP RMH'!$E:$E,MATCH(TRIM(F542),'LP RMH'!$A:$A,0))),0),IFERROR(INDEX('LP MONCAR'!$E:$E,MATCH(TRIM(F542),'LP MONCAR'!$A:$A,0)),0)))</f>
        <v/>
      </c>
    </row>
    <row r="543">
      <c r="A543" s="37" t="n"/>
      <c r="E543" s="16">
        <f>IFERROR(IF(LEFT(F543,2)="RM","RMH","MONCAR"),"")</f>
        <v/>
      </c>
      <c r="J543">
        <f>IF(TRIM(F543)="","",IF(LEFT(TRIM(F543),2)="RM",IFERROR(IF(D543&gt;=DATE(2026,4,1),INDEX('LP RMH'!$F:$F,MATCH(TRIM(F543),'LP RMH'!$A:$A,0)),INDEX('LP RMH'!$E:$E,MATCH(TRIM(F543),'LP RMH'!$A:$A,0))),0),IFERROR(INDEX('LP MONCAR'!$E:$E,MATCH(TRIM(F543),'LP MONCAR'!$A:$A,0)),0)))</f>
        <v/>
      </c>
    </row>
    <row r="544">
      <c r="A544" s="37" t="n"/>
      <c r="E544" s="16">
        <f>IFERROR(IF(LEFT(F544,2)="RM","RMH","MONCAR"),"")</f>
        <v/>
      </c>
      <c r="J544">
        <f>IF(TRIM(F544)="","",IF(LEFT(TRIM(F544),2)="RM",IFERROR(IF(D544&gt;=DATE(2026,4,1),INDEX('LP RMH'!$F:$F,MATCH(TRIM(F544),'LP RMH'!$A:$A,0)),INDEX('LP RMH'!$E:$E,MATCH(TRIM(F544),'LP RMH'!$A:$A,0))),0),IFERROR(INDEX('LP MONCAR'!$E:$E,MATCH(TRIM(F544),'LP MONCAR'!$A:$A,0)),0)))</f>
        <v/>
      </c>
    </row>
    <row r="545">
      <c r="A545" s="37" t="n"/>
      <c r="E545" s="16">
        <f>IFERROR(IF(LEFT(F545,2)="RM","RMH","MONCAR"),"")</f>
        <v/>
      </c>
      <c r="J545">
        <f>IF(TRIM(F545)="","",IF(LEFT(TRIM(F545),2)="RM",IFERROR(IF(D545&gt;=DATE(2026,4,1),INDEX('LP RMH'!$F:$F,MATCH(TRIM(F545),'LP RMH'!$A:$A,0)),INDEX('LP RMH'!$E:$E,MATCH(TRIM(F545),'LP RMH'!$A:$A,0))),0),IFERROR(INDEX('LP MONCAR'!$E:$E,MATCH(TRIM(F545),'LP MONCAR'!$A:$A,0)),0)))</f>
        <v/>
      </c>
    </row>
    <row r="546">
      <c r="A546" s="37" t="n"/>
      <c r="E546" s="16">
        <f>IFERROR(IF(LEFT(F546,2)="RM","RMH","MONCAR"),"")</f>
        <v/>
      </c>
      <c r="J546">
        <f>IF(TRIM(F546)="","",IF(LEFT(TRIM(F546),2)="RM",IFERROR(IF(D546&gt;=DATE(2026,4,1),INDEX('LP RMH'!$F:$F,MATCH(TRIM(F546),'LP RMH'!$A:$A,0)),INDEX('LP RMH'!$E:$E,MATCH(TRIM(F546),'LP RMH'!$A:$A,0))),0),IFERROR(INDEX('LP MONCAR'!$E:$E,MATCH(TRIM(F546),'LP MONCAR'!$A:$A,0)),0)))</f>
        <v/>
      </c>
    </row>
    <row r="547">
      <c r="A547" s="37" t="n"/>
      <c r="E547" s="16">
        <f>IFERROR(IF(LEFT(F547,2)="RM","RMH","MONCAR"),"")</f>
        <v/>
      </c>
      <c r="J547">
        <f>IF(TRIM(F547)="","",IF(LEFT(TRIM(F547),2)="RM",IFERROR(IF(D547&gt;=DATE(2026,4,1),INDEX('LP RMH'!$F:$F,MATCH(TRIM(F547),'LP RMH'!$A:$A,0)),INDEX('LP RMH'!$E:$E,MATCH(TRIM(F547),'LP RMH'!$A:$A,0))),0),IFERROR(INDEX('LP MONCAR'!$E:$E,MATCH(TRIM(F547),'LP MONCAR'!$A:$A,0)),0)))</f>
        <v/>
      </c>
    </row>
    <row r="548">
      <c r="A548" s="37" t="n"/>
      <c r="E548" s="16">
        <f>IFERROR(IF(LEFT(F548,2)="RM","RMH","MONCAR"),"")</f>
        <v/>
      </c>
      <c r="J548">
        <f>IF(TRIM(F548)="","",IF(LEFT(TRIM(F548),2)="RM",IFERROR(IF(D548&gt;=DATE(2026,4,1),INDEX('LP RMH'!$F:$F,MATCH(TRIM(F548),'LP RMH'!$A:$A,0)),INDEX('LP RMH'!$E:$E,MATCH(TRIM(F548),'LP RMH'!$A:$A,0))),0),IFERROR(INDEX('LP MONCAR'!$E:$E,MATCH(TRIM(F548),'LP MONCAR'!$A:$A,0)),0)))</f>
        <v/>
      </c>
    </row>
    <row r="549">
      <c r="A549" s="37" t="n"/>
      <c r="E549" s="16">
        <f>IFERROR(IF(LEFT(F549,2)="RM","RMH","MONCAR"),"")</f>
        <v/>
      </c>
      <c r="J549">
        <f>IF(TRIM(F549)="","",IF(LEFT(TRIM(F549),2)="RM",IFERROR(IF(D549&gt;=DATE(2026,4,1),INDEX('LP RMH'!$F:$F,MATCH(TRIM(F549),'LP RMH'!$A:$A,0)),INDEX('LP RMH'!$E:$E,MATCH(TRIM(F549),'LP RMH'!$A:$A,0))),0),IFERROR(INDEX('LP MONCAR'!$E:$E,MATCH(TRIM(F549),'LP MONCAR'!$A:$A,0)),0)))</f>
        <v/>
      </c>
    </row>
    <row r="550">
      <c r="A550" s="37" t="n"/>
      <c r="E550" s="16">
        <f>IFERROR(IF(LEFT(F550,2)="RM","RMH","MONCAR"),"")</f>
        <v/>
      </c>
      <c r="J550">
        <f>IF(TRIM(F550)="","",IF(LEFT(TRIM(F550),2)="RM",IFERROR(IF(D550&gt;=DATE(2026,4,1),INDEX('LP RMH'!$F:$F,MATCH(TRIM(F550),'LP RMH'!$A:$A,0)),INDEX('LP RMH'!$E:$E,MATCH(TRIM(F550),'LP RMH'!$A:$A,0))),0),IFERROR(INDEX('LP MONCAR'!$E:$E,MATCH(TRIM(F550),'LP MONCAR'!$A:$A,0)),0)))</f>
        <v/>
      </c>
    </row>
    <row r="551">
      <c r="A551" s="37" t="n"/>
      <c r="E551" s="16">
        <f>IFERROR(IF(LEFT(F551,2)="RM","RMH","MONCAR"),"")</f>
        <v/>
      </c>
      <c r="J551">
        <f>IF(TRIM(F551)="","",IF(LEFT(TRIM(F551),2)="RM",IFERROR(IF(D551&gt;=DATE(2026,4,1),INDEX('LP RMH'!$F:$F,MATCH(TRIM(F551),'LP RMH'!$A:$A,0)),INDEX('LP RMH'!$E:$E,MATCH(TRIM(F551),'LP RMH'!$A:$A,0))),0),IFERROR(INDEX('LP MONCAR'!$E:$E,MATCH(TRIM(F551),'LP MONCAR'!$A:$A,0)),0)))</f>
        <v/>
      </c>
    </row>
    <row r="552">
      <c r="A552" s="37" t="n"/>
      <c r="E552" s="16">
        <f>IFERROR(IF(LEFT(F552,2)="RM","RMH","MONCAR"),"")</f>
        <v/>
      </c>
      <c r="J552">
        <f>IF(TRIM(F552)="","",IF(LEFT(TRIM(F552),2)="RM",IFERROR(IF(D552&gt;=DATE(2026,4,1),INDEX('LP RMH'!$F:$F,MATCH(TRIM(F552),'LP RMH'!$A:$A,0)),INDEX('LP RMH'!$E:$E,MATCH(TRIM(F552),'LP RMH'!$A:$A,0))),0),IFERROR(INDEX('LP MONCAR'!$E:$E,MATCH(TRIM(F552),'LP MONCAR'!$A:$A,0)),0)))</f>
        <v/>
      </c>
    </row>
    <row r="553">
      <c r="A553" s="37" t="n"/>
      <c r="E553" s="16">
        <f>IFERROR(IF(LEFT(F553,2)="RM","RMH","MONCAR"),"")</f>
        <v/>
      </c>
      <c r="J553">
        <f>IF(TRIM(F553)="","",IF(LEFT(TRIM(F553),2)="RM",IFERROR(IF(D553&gt;=DATE(2026,4,1),INDEX('LP RMH'!$F:$F,MATCH(TRIM(F553),'LP RMH'!$A:$A,0)),INDEX('LP RMH'!$E:$E,MATCH(TRIM(F553),'LP RMH'!$A:$A,0))),0),IFERROR(INDEX('LP MONCAR'!$E:$E,MATCH(TRIM(F553),'LP MONCAR'!$A:$A,0)),0)))</f>
        <v/>
      </c>
    </row>
    <row r="554">
      <c r="A554" s="37" t="n"/>
      <c r="E554" s="16">
        <f>IFERROR(IF(LEFT(F554,2)="RM","RMH","MONCAR"),"")</f>
        <v/>
      </c>
      <c r="J554">
        <f>IF(TRIM(F554)="","",IF(LEFT(TRIM(F554),2)="RM",IFERROR(IF(D554&gt;=DATE(2026,4,1),INDEX('LP RMH'!$F:$F,MATCH(TRIM(F554),'LP RMH'!$A:$A,0)),INDEX('LP RMH'!$E:$E,MATCH(TRIM(F554),'LP RMH'!$A:$A,0))),0),IFERROR(INDEX('LP MONCAR'!$E:$E,MATCH(TRIM(F554),'LP MONCAR'!$A:$A,0)),0)))</f>
        <v/>
      </c>
    </row>
    <row r="555">
      <c r="A555" s="37" t="n"/>
      <c r="E555" s="16">
        <f>IFERROR(IF(LEFT(F555,2)="RM","RMH","MONCAR"),"")</f>
        <v/>
      </c>
      <c r="J555">
        <f>IF(TRIM(F555)="","",IF(LEFT(TRIM(F555),2)="RM",IFERROR(IF(D555&gt;=DATE(2026,4,1),INDEX('LP RMH'!$F:$F,MATCH(TRIM(F555),'LP RMH'!$A:$A,0)),INDEX('LP RMH'!$E:$E,MATCH(TRIM(F555),'LP RMH'!$A:$A,0))),0),IFERROR(INDEX('LP MONCAR'!$E:$E,MATCH(TRIM(F555),'LP MONCAR'!$A:$A,0)),0)))</f>
        <v/>
      </c>
    </row>
    <row r="556">
      <c r="A556" s="37" t="n"/>
      <c r="E556" s="16">
        <f>IFERROR(IF(LEFT(F556,2)="RM","RMH","MONCAR"),"")</f>
        <v/>
      </c>
      <c r="J556">
        <f>IF(TRIM(F556)="","",IF(LEFT(TRIM(F556),2)="RM",IFERROR(IF(D556&gt;=DATE(2026,4,1),INDEX('LP RMH'!$F:$F,MATCH(TRIM(F556),'LP RMH'!$A:$A,0)),INDEX('LP RMH'!$E:$E,MATCH(TRIM(F556),'LP RMH'!$A:$A,0))),0),IFERROR(INDEX('LP MONCAR'!$E:$E,MATCH(TRIM(F556),'LP MONCAR'!$A:$A,0)),0)))</f>
        <v/>
      </c>
    </row>
    <row r="557">
      <c r="A557" s="37" t="n"/>
      <c r="E557" s="16">
        <f>IFERROR(IF(LEFT(F557,2)="RM","RMH","MONCAR"),"")</f>
        <v/>
      </c>
      <c r="J557">
        <f>IF(TRIM(F557)="","",IF(LEFT(TRIM(F557),2)="RM",IFERROR(IF(D557&gt;=DATE(2026,4,1),INDEX('LP RMH'!$F:$F,MATCH(TRIM(F557),'LP RMH'!$A:$A,0)),INDEX('LP RMH'!$E:$E,MATCH(TRIM(F557),'LP RMH'!$A:$A,0))),0),IFERROR(INDEX('LP MONCAR'!$E:$E,MATCH(TRIM(F557),'LP MONCAR'!$A:$A,0)),0)))</f>
        <v/>
      </c>
    </row>
    <row r="558">
      <c r="A558" s="37" t="n"/>
      <c r="E558" s="16">
        <f>IFERROR(IF(LEFT(F558,2)="RM","RMH","MONCAR"),"")</f>
        <v/>
      </c>
      <c r="J558">
        <f>IF(TRIM(F558)="","",IF(LEFT(TRIM(F558),2)="RM",IFERROR(IF(D558&gt;=DATE(2026,4,1),INDEX('LP RMH'!$F:$F,MATCH(TRIM(F558),'LP RMH'!$A:$A,0)),INDEX('LP RMH'!$E:$E,MATCH(TRIM(F558),'LP RMH'!$A:$A,0))),0),IFERROR(INDEX('LP MONCAR'!$E:$E,MATCH(TRIM(F558),'LP MONCAR'!$A:$A,0)),0)))</f>
        <v/>
      </c>
    </row>
    <row r="559">
      <c r="A559" s="37" t="n"/>
      <c r="E559" s="16">
        <f>IFERROR(IF(LEFT(F559,2)="RM","RMH","MONCAR"),"")</f>
        <v/>
      </c>
      <c r="J559">
        <f>IF(TRIM(F559)="","",IF(LEFT(TRIM(F559),2)="RM",IFERROR(IF(D559&gt;=DATE(2026,4,1),INDEX('LP RMH'!$F:$F,MATCH(TRIM(F559),'LP RMH'!$A:$A,0)),INDEX('LP RMH'!$E:$E,MATCH(TRIM(F559),'LP RMH'!$A:$A,0))),0),IFERROR(INDEX('LP MONCAR'!$E:$E,MATCH(TRIM(F559),'LP MONCAR'!$A:$A,0)),0)))</f>
        <v/>
      </c>
    </row>
    <row r="560">
      <c r="A560" s="37" t="n"/>
      <c r="E560" s="16">
        <f>IFERROR(IF(LEFT(F560,2)="RM","RMH","MONCAR"),"")</f>
        <v/>
      </c>
      <c r="J560">
        <f>IF(TRIM(F560)="","",IF(LEFT(TRIM(F560),2)="RM",IFERROR(IF(D560&gt;=DATE(2026,4,1),INDEX('LP RMH'!$F:$F,MATCH(TRIM(F560),'LP RMH'!$A:$A,0)),INDEX('LP RMH'!$E:$E,MATCH(TRIM(F560),'LP RMH'!$A:$A,0))),0),IFERROR(INDEX('LP MONCAR'!$E:$E,MATCH(TRIM(F560),'LP MONCAR'!$A:$A,0)),0)))</f>
        <v/>
      </c>
    </row>
    <row r="561">
      <c r="A561" s="37" t="n"/>
      <c r="E561" s="16">
        <f>IFERROR(IF(LEFT(F561,2)="RM","RMH","MONCAR"),"")</f>
        <v/>
      </c>
      <c r="J561">
        <f>IF(TRIM(F561)="","",IF(LEFT(TRIM(F561),2)="RM",IFERROR(IF(D561&gt;=DATE(2026,4,1),INDEX('LP RMH'!$F:$F,MATCH(TRIM(F561),'LP RMH'!$A:$A,0)),INDEX('LP RMH'!$E:$E,MATCH(TRIM(F561),'LP RMH'!$A:$A,0))),0),IFERROR(INDEX('LP MONCAR'!$E:$E,MATCH(TRIM(F561),'LP MONCAR'!$A:$A,0)),0)))</f>
        <v/>
      </c>
    </row>
    <row r="562">
      <c r="A562" s="37" t="n"/>
      <c r="E562" s="16">
        <f>IFERROR(IF(LEFT(F562,2)="RM","RMH","MONCAR"),"")</f>
        <v/>
      </c>
      <c r="J562">
        <f>IF(TRIM(F562)="","",IF(LEFT(TRIM(F562),2)="RM",IFERROR(IF(D562&gt;=DATE(2026,4,1),INDEX('LP RMH'!$F:$F,MATCH(TRIM(F562),'LP RMH'!$A:$A,0)),INDEX('LP RMH'!$E:$E,MATCH(TRIM(F562),'LP RMH'!$A:$A,0))),0),IFERROR(INDEX('LP MONCAR'!$E:$E,MATCH(TRIM(F562),'LP MONCAR'!$A:$A,0)),0)))</f>
        <v/>
      </c>
    </row>
    <row r="563">
      <c r="A563" s="37" t="n"/>
      <c r="E563" s="16">
        <f>IFERROR(IF(LEFT(F563,2)="RM","RMH","MONCAR"),"")</f>
        <v/>
      </c>
      <c r="J563">
        <f>IF(TRIM(F563)="","",IF(LEFT(TRIM(F563),2)="RM",IFERROR(IF(D563&gt;=DATE(2026,4,1),INDEX('LP RMH'!$F:$F,MATCH(TRIM(F563),'LP RMH'!$A:$A,0)),INDEX('LP RMH'!$E:$E,MATCH(TRIM(F563),'LP RMH'!$A:$A,0))),0),IFERROR(INDEX('LP MONCAR'!$E:$E,MATCH(TRIM(F563),'LP MONCAR'!$A:$A,0)),0)))</f>
        <v/>
      </c>
    </row>
    <row r="564">
      <c r="A564" s="37" t="n"/>
      <c r="E564" s="16">
        <f>IFERROR(IF(LEFT(F564,2)="RM","RMH","MONCAR"),"")</f>
        <v/>
      </c>
      <c r="J564">
        <f>IF(TRIM(F564)="","",IF(LEFT(TRIM(F564),2)="RM",IFERROR(IF(D564&gt;=DATE(2026,4,1),INDEX('LP RMH'!$F:$F,MATCH(TRIM(F564),'LP RMH'!$A:$A,0)),INDEX('LP RMH'!$E:$E,MATCH(TRIM(F564),'LP RMH'!$A:$A,0))),0),IFERROR(INDEX('LP MONCAR'!$E:$E,MATCH(TRIM(F564),'LP MONCAR'!$A:$A,0)),0)))</f>
        <v/>
      </c>
    </row>
    <row r="565">
      <c r="A565" s="37" t="n"/>
      <c r="E565" s="16">
        <f>IFERROR(IF(LEFT(F565,2)="RM","RMH","MONCAR"),"")</f>
        <v/>
      </c>
      <c r="J565">
        <f>IF(TRIM(F565)="","",IF(LEFT(TRIM(F565),2)="RM",IFERROR(IF(D565&gt;=DATE(2026,4,1),INDEX('LP RMH'!$F:$F,MATCH(TRIM(F565),'LP RMH'!$A:$A,0)),INDEX('LP RMH'!$E:$E,MATCH(TRIM(F565),'LP RMH'!$A:$A,0))),0),IFERROR(INDEX('LP MONCAR'!$E:$E,MATCH(TRIM(F565),'LP MONCAR'!$A:$A,0)),0)))</f>
        <v/>
      </c>
    </row>
    <row r="566">
      <c r="A566" s="37" t="n"/>
      <c r="E566" s="16">
        <f>IFERROR(IF(LEFT(F566,2)="RM","RMH","MONCAR"),"")</f>
        <v/>
      </c>
      <c r="J566">
        <f>IF(TRIM(F566)="","",IF(LEFT(TRIM(F566),2)="RM",IFERROR(IF(D566&gt;=DATE(2026,4,1),INDEX('LP RMH'!$F:$F,MATCH(TRIM(F566),'LP RMH'!$A:$A,0)),INDEX('LP RMH'!$E:$E,MATCH(TRIM(F566),'LP RMH'!$A:$A,0))),0),IFERROR(INDEX('LP MONCAR'!$E:$E,MATCH(TRIM(F566),'LP MONCAR'!$A:$A,0)),0)))</f>
        <v/>
      </c>
    </row>
    <row r="567">
      <c r="A567" s="37" t="n"/>
      <c r="E567" s="16">
        <f>IFERROR(IF(LEFT(F567,2)="RM","RMH","MONCAR"),"")</f>
        <v/>
      </c>
      <c r="J567">
        <f>IF(TRIM(F567)="","",IF(LEFT(TRIM(F567),2)="RM",IFERROR(IF(D567&gt;=DATE(2026,4,1),INDEX('LP RMH'!$F:$F,MATCH(TRIM(F567),'LP RMH'!$A:$A,0)),INDEX('LP RMH'!$E:$E,MATCH(TRIM(F567),'LP RMH'!$A:$A,0))),0),IFERROR(INDEX('LP MONCAR'!$E:$E,MATCH(TRIM(F567),'LP MONCAR'!$A:$A,0)),0)))</f>
        <v/>
      </c>
    </row>
    <row r="568">
      <c r="A568" s="37" t="n"/>
      <c r="E568" s="16">
        <f>IFERROR(IF(LEFT(F568,2)="RM","RMH","MONCAR"),"")</f>
        <v/>
      </c>
      <c r="J568">
        <f>IF(TRIM(F568)="","",IF(LEFT(TRIM(F568),2)="RM",IFERROR(IF(D568&gt;=DATE(2026,4,1),INDEX('LP RMH'!$F:$F,MATCH(TRIM(F568),'LP RMH'!$A:$A,0)),INDEX('LP RMH'!$E:$E,MATCH(TRIM(F568),'LP RMH'!$A:$A,0))),0),IFERROR(INDEX('LP MONCAR'!$E:$E,MATCH(TRIM(F568),'LP MONCAR'!$A:$A,0)),0)))</f>
        <v/>
      </c>
    </row>
    <row r="569">
      <c r="A569" s="37" t="n"/>
      <c r="E569" s="16">
        <f>IFERROR(IF(LEFT(F569,2)="RM","RMH","MONCAR"),"")</f>
        <v/>
      </c>
      <c r="J569">
        <f>IF(TRIM(F569)="","",IF(LEFT(TRIM(F569),2)="RM",IFERROR(IF(D569&gt;=DATE(2026,4,1),INDEX('LP RMH'!$F:$F,MATCH(TRIM(F569),'LP RMH'!$A:$A,0)),INDEX('LP RMH'!$E:$E,MATCH(TRIM(F569),'LP RMH'!$A:$A,0))),0),IFERROR(INDEX('LP MONCAR'!$E:$E,MATCH(TRIM(F569),'LP MONCAR'!$A:$A,0)),0)))</f>
        <v/>
      </c>
    </row>
    <row r="570">
      <c r="A570" s="37" t="n"/>
      <c r="E570" s="16">
        <f>IFERROR(IF(LEFT(F570,2)="RM","RMH","MONCAR"),"")</f>
        <v/>
      </c>
      <c r="J570">
        <f>IF(TRIM(F570)="","",IF(LEFT(TRIM(F570),2)="RM",IFERROR(IF(D570&gt;=DATE(2026,4,1),INDEX('LP RMH'!$F:$F,MATCH(TRIM(F570),'LP RMH'!$A:$A,0)),INDEX('LP RMH'!$E:$E,MATCH(TRIM(F570),'LP RMH'!$A:$A,0))),0),IFERROR(INDEX('LP MONCAR'!$E:$E,MATCH(TRIM(F570),'LP MONCAR'!$A:$A,0)),0)))</f>
        <v/>
      </c>
    </row>
    <row r="571">
      <c r="A571" s="37" t="n"/>
      <c r="E571" s="16">
        <f>IFERROR(IF(LEFT(F571,2)="RM","RMH","MONCAR"),"")</f>
        <v/>
      </c>
      <c r="J571">
        <f>IF(TRIM(F571)="","",IF(LEFT(TRIM(F571),2)="RM",IFERROR(IF(D571&gt;=DATE(2026,4,1),INDEX('LP RMH'!$F:$F,MATCH(TRIM(F571),'LP RMH'!$A:$A,0)),INDEX('LP RMH'!$E:$E,MATCH(TRIM(F571),'LP RMH'!$A:$A,0))),0),IFERROR(INDEX('LP MONCAR'!$E:$E,MATCH(TRIM(F571),'LP MONCAR'!$A:$A,0)),0)))</f>
        <v/>
      </c>
    </row>
    <row r="572">
      <c r="A572" s="37" t="n"/>
      <c r="E572" s="16">
        <f>IFERROR(IF(LEFT(F572,2)="RM","RMH","MONCAR"),"")</f>
        <v/>
      </c>
      <c r="J572">
        <f>IF(TRIM(F572)="","",IF(LEFT(TRIM(F572),2)="RM",IFERROR(IF(D572&gt;=DATE(2026,4,1),INDEX('LP RMH'!$F:$F,MATCH(TRIM(F572),'LP RMH'!$A:$A,0)),INDEX('LP RMH'!$E:$E,MATCH(TRIM(F572),'LP RMH'!$A:$A,0))),0),IFERROR(INDEX('LP MONCAR'!$E:$E,MATCH(TRIM(F572),'LP MONCAR'!$A:$A,0)),0)))</f>
        <v/>
      </c>
    </row>
    <row r="573">
      <c r="A573" s="37" t="n"/>
      <c r="E573" s="16">
        <f>IFERROR(IF(LEFT(F573,2)="RM","RMH","MONCAR"),"")</f>
        <v/>
      </c>
      <c r="J573">
        <f>IF(TRIM(F573)="","",IF(LEFT(TRIM(F573),2)="RM",IFERROR(IF(D573&gt;=DATE(2026,4,1),INDEX('LP RMH'!$F:$F,MATCH(TRIM(F573),'LP RMH'!$A:$A,0)),INDEX('LP RMH'!$E:$E,MATCH(TRIM(F573),'LP RMH'!$A:$A,0))),0),IFERROR(INDEX('LP MONCAR'!$E:$E,MATCH(TRIM(F573),'LP MONCAR'!$A:$A,0)),0)))</f>
        <v/>
      </c>
    </row>
    <row r="574">
      <c r="A574" s="37" t="n"/>
      <c r="E574" s="16">
        <f>IFERROR(IF(LEFT(F574,2)="RM","RMH","MONCAR"),"")</f>
        <v/>
      </c>
      <c r="J574">
        <f>IF(TRIM(F574)="","",IF(LEFT(TRIM(F574),2)="RM",IFERROR(IF(D574&gt;=DATE(2026,4,1),INDEX('LP RMH'!$F:$F,MATCH(TRIM(F574),'LP RMH'!$A:$A,0)),INDEX('LP RMH'!$E:$E,MATCH(TRIM(F574),'LP RMH'!$A:$A,0))),0),IFERROR(INDEX('LP MONCAR'!$E:$E,MATCH(TRIM(F574),'LP MONCAR'!$A:$A,0)),0)))</f>
        <v/>
      </c>
    </row>
    <row r="575">
      <c r="A575" s="37" t="n"/>
      <c r="E575" s="16">
        <f>IFERROR(IF(LEFT(F575,2)="RM","RMH","MONCAR"),"")</f>
        <v/>
      </c>
      <c r="J575">
        <f>IF(TRIM(F575)="","",IF(LEFT(TRIM(F575),2)="RM",IFERROR(IF(D575&gt;=DATE(2026,4,1),INDEX('LP RMH'!$F:$F,MATCH(TRIM(F575),'LP RMH'!$A:$A,0)),INDEX('LP RMH'!$E:$E,MATCH(TRIM(F575),'LP RMH'!$A:$A,0))),0),IFERROR(INDEX('LP MONCAR'!$E:$E,MATCH(TRIM(F575),'LP MONCAR'!$A:$A,0)),0)))</f>
        <v/>
      </c>
    </row>
    <row r="576">
      <c r="A576" s="37" t="n"/>
      <c r="E576" s="16">
        <f>IFERROR(IF(LEFT(F576,2)="RM","RMH","MONCAR"),"")</f>
        <v/>
      </c>
      <c r="J576">
        <f>IF(TRIM(F576)="","",IF(LEFT(TRIM(F576),2)="RM",IFERROR(IF(D576&gt;=DATE(2026,4,1),INDEX('LP RMH'!$F:$F,MATCH(TRIM(F576),'LP RMH'!$A:$A,0)),INDEX('LP RMH'!$E:$E,MATCH(TRIM(F576),'LP RMH'!$A:$A,0))),0),IFERROR(INDEX('LP MONCAR'!$E:$E,MATCH(TRIM(F576),'LP MONCAR'!$A:$A,0)),0)))</f>
        <v/>
      </c>
    </row>
    <row r="577">
      <c r="A577" s="37" t="n"/>
      <c r="E577" s="16">
        <f>IFERROR(IF(LEFT(F577,2)="RM","RMH","MONCAR"),"")</f>
        <v/>
      </c>
      <c r="J577">
        <f>IF(TRIM(F577)="","",IF(LEFT(TRIM(F577),2)="RM",IFERROR(IF(D577&gt;=DATE(2026,4,1),INDEX('LP RMH'!$F:$F,MATCH(TRIM(F577),'LP RMH'!$A:$A,0)),INDEX('LP RMH'!$E:$E,MATCH(TRIM(F577),'LP RMH'!$A:$A,0))),0),IFERROR(INDEX('LP MONCAR'!$E:$E,MATCH(TRIM(F577),'LP MONCAR'!$A:$A,0)),0)))</f>
        <v/>
      </c>
    </row>
    <row r="578">
      <c r="A578" s="37" t="n"/>
      <c r="E578" s="16">
        <f>IFERROR(IF(LEFT(F578,2)="RM","RMH","MONCAR"),"")</f>
        <v/>
      </c>
      <c r="J578">
        <f>IF(TRIM(F578)="","",IF(LEFT(TRIM(F578),2)="RM",IFERROR(IF(D578&gt;=DATE(2026,4,1),INDEX('LP RMH'!$F:$F,MATCH(TRIM(F578),'LP RMH'!$A:$A,0)),INDEX('LP RMH'!$E:$E,MATCH(TRIM(F578),'LP RMH'!$A:$A,0))),0),IFERROR(INDEX('LP MONCAR'!$E:$E,MATCH(TRIM(F578),'LP MONCAR'!$A:$A,0)),0)))</f>
        <v/>
      </c>
    </row>
    <row r="579">
      <c r="A579" s="37" t="n"/>
      <c r="E579" s="16">
        <f>IFERROR(IF(LEFT(F579,2)="RM","RMH","MONCAR"),"")</f>
        <v/>
      </c>
      <c r="J579">
        <f>IF(TRIM(F579)="","",IF(LEFT(TRIM(F579),2)="RM",IFERROR(IF(D579&gt;=DATE(2026,4,1),INDEX('LP RMH'!$F:$F,MATCH(TRIM(F579),'LP RMH'!$A:$A,0)),INDEX('LP RMH'!$E:$E,MATCH(TRIM(F579),'LP RMH'!$A:$A,0))),0),IFERROR(INDEX('LP MONCAR'!$E:$E,MATCH(TRIM(F579),'LP MONCAR'!$A:$A,0)),0)))</f>
        <v/>
      </c>
    </row>
    <row r="580">
      <c r="A580" s="37" t="n"/>
      <c r="E580" s="16">
        <f>IFERROR(IF(LEFT(F580,2)="RM","RMH","MONCAR"),"")</f>
        <v/>
      </c>
      <c r="J580">
        <f>IF(TRIM(F580)="","",IF(LEFT(TRIM(F580),2)="RM",IFERROR(IF(D580&gt;=DATE(2026,4,1),INDEX('LP RMH'!$F:$F,MATCH(TRIM(F580),'LP RMH'!$A:$A,0)),INDEX('LP RMH'!$E:$E,MATCH(TRIM(F580),'LP RMH'!$A:$A,0))),0),IFERROR(INDEX('LP MONCAR'!$E:$E,MATCH(TRIM(F580),'LP MONCAR'!$A:$A,0)),0)))</f>
        <v/>
      </c>
    </row>
    <row r="581">
      <c r="A581" s="37" t="n"/>
      <c r="E581" s="16">
        <f>IFERROR(IF(LEFT(F581,2)="RM","RMH","MONCAR"),"")</f>
        <v/>
      </c>
      <c r="J581">
        <f>IF(TRIM(F581)="","",IF(LEFT(TRIM(F581),2)="RM",IFERROR(IF(D581&gt;=DATE(2026,4,1),INDEX('LP RMH'!$F:$F,MATCH(TRIM(F581),'LP RMH'!$A:$A,0)),INDEX('LP RMH'!$E:$E,MATCH(TRIM(F581),'LP RMH'!$A:$A,0))),0),IFERROR(INDEX('LP MONCAR'!$E:$E,MATCH(TRIM(F581),'LP MONCAR'!$A:$A,0)),0)))</f>
        <v/>
      </c>
    </row>
    <row r="582">
      <c r="A582" s="37" t="n"/>
      <c r="E582" s="16">
        <f>IFERROR(IF(LEFT(F582,2)="RM","RMH","MONCAR"),"")</f>
        <v/>
      </c>
      <c r="J582">
        <f>IF(TRIM(F582)="","",IF(LEFT(TRIM(F582),2)="RM",IFERROR(IF(D582&gt;=DATE(2026,4,1),INDEX('LP RMH'!$F:$F,MATCH(TRIM(F582),'LP RMH'!$A:$A,0)),INDEX('LP RMH'!$E:$E,MATCH(TRIM(F582),'LP RMH'!$A:$A,0))),0),IFERROR(INDEX('LP MONCAR'!$E:$E,MATCH(TRIM(F582),'LP MONCAR'!$A:$A,0)),0)))</f>
        <v/>
      </c>
    </row>
    <row r="583">
      <c r="A583" s="37" t="n"/>
      <c r="E583" s="16">
        <f>IFERROR(IF(LEFT(F583,2)="RM","RMH","MONCAR"),"")</f>
        <v/>
      </c>
      <c r="J583">
        <f>IF(TRIM(F583)="","",IF(LEFT(TRIM(F583),2)="RM",IFERROR(IF(D583&gt;=DATE(2026,4,1),INDEX('LP RMH'!$F:$F,MATCH(TRIM(F583),'LP RMH'!$A:$A,0)),INDEX('LP RMH'!$E:$E,MATCH(TRIM(F583),'LP RMH'!$A:$A,0))),0),IFERROR(INDEX('LP MONCAR'!$E:$E,MATCH(TRIM(F583),'LP MONCAR'!$A:$A,0)),0)))</f>
        <v/>
      </c>
    </row>
    <row r="584">
      <c r="A584" s="37" t="n"/>
      <c r="E584" s="16">
        <f>IFERROR(IF(LEFT(F584,2)="RM","RMH","MONCAR"),"")</f>
        <v/>
      </c>
      <c r="J584">
        <f>IF(TRIM(F584)="","",IF(LEFT(TRIM(F584),2)="RM",IFERROR(IF(D584&gt;=DATE(2026,4,1),INDEX('LP RMH'!$F:$F,MATCH(TRIM(F584),'LP RMH'!$A:$A,0)),INDEX('LP RMH'!$E:$E,MATCH(TRIM(F584),'LP RMH'!$A:$A,0))),0),IFERROR(INDEX('LP MONCAR'!$E:$E,MATCH(TRIM(F584),'LP MONCAR'!$A:$A,0)),0)))</f>
        <v/>
      </c>
    </row>
    <row r="585">
      <c r="A585" s="37" t="n"/>
      <c r="E585" s="16">
        <f>IFERROR(IF(LEFT(F585,2)="RM","RMH","MONCAR"),"")</f>
        <v/>
      </c>
      <c r="J585">
        <f>IF(TRIM(F585)="","",IF(LEFT(TRIM(F585),2)="RM",IFERROR(IF(D585&gt;=DATE(2026,4,1),INDEX('LP RMH'!$F:$F,MATCH(TRIM(F585),'LP RMH'!$A:$A,0)),INDEX('LP RMH'!$E:$E,MATCH(TRIM(F585),'LP RMH'!$A:$A,0))),0),IFERROR(INDEX('LP MONCAR'!$E:$E,MATCH(TRIM(F585),'LP MONCAR'!$A:$A,0)),0)))</f>
        <v/>
      </c>
    </row>
    <row r="586">
      <c r="A586" s="37" t="n"/>
      <c r="E586" s="16">
        <f>IFERROR(IF(LEFT(F586,2)="RM","RMH","MONCAR"),"")</f>
        <v/>
      </c>
      <c r="J586">
        <f>IF(TRIM(F586)="","",IF(LEFT(TRIM(F586),2)="RM",IFERROR(IF(D586&gt;=DATE(2026,4,1),INDEX('LP RMH'!$F:$F,MATCH(TRIM(F586),'LP RMH'!$A:$A,0)),INDEX('LP RMH'!$E:$E,MATCH(TRIM(F586),'LP RMH'!$A:$A,0))),0),IFERROR(INDEX('LP MONCAR'!$E:$E,MATCH(TRIM(F586),'LP MONCAR'!$A:$A,0)),0)))</f>
        <v/>
      </c>
    </row>
    <row r="587">
      <c r="A587" s="37" t="n"/>
      <c r="E587" s="16">
        <f>IFERROR(IF(LEFT(F587,2)="RM","RMH","MONCAR"),"")</f>
        <v/>
      </c>
      <c r="J587">
        <f>IF(TRIM(F587)="","",IF(LEFT(TRIM(F587),2)="RM",IFERROR(IF(D587&gt;=DATE(2026,4,1),INDEX('LP RMH'!$F:$F,MATCH(TRIM(F587),'LP RMH'!$A:$A,0)),INDEX('LP RMH'!$E:$E,MATCH(TRIM(F587),'LP RMH'!$A:$A,0))),0),IFERROR(INDEX('LP MONCAR'!$E:$E,MATCH(TRIM(F587),'LP MONCAR'!$A:$A,0)),0)))</f>
        <v/>
      </c>
    </row>
    <row r="588">
      <c r="A588" s="37" t="n"/>
      <c r="E588" s="16">
        <f>IFERROR(IF(LEFT(F588,2)="RM","RMH","MONCAR"),"")</f>
        <v/>
      </c>
      <c r="J588">
        <f>IF(TRIM(F588)="","",IF(LEFT(TRIM(F588),2)="RM",IFERROR(IF(D588&gt;=DATE(2026,4,1),INDEX('LP RMH'!$F:$F,MATCH(TRIM(F588),'LP RMH'!$A:$A,0)),INDEX('LP RMH'!$E:$E,MATCH(TRIM(F588),'LP RMH'!$A:$A,0))),0),IFERROR(INDEX('LP MONCAR'!$E:$E,MATCH(TRIM(F588),'LP MONCAR'!$A:$A,0)),0)))</f>
        <v/>
      </c>
    </row>
    <row r="589">
      <c r="A589" s="37" t="n"/>
      <c r="E589" s="16">
        <f>IFERROR(IF(LEFT(F589,2)="RM","RMH","MONCAR"),"")</f>
        <v/>
      </c>
      <c r="J589">
        <f>IF(TRIM(F589)="","",IF(LEFT(TRIM(F589),2)="RM",IFERROR(IF(D589&gt;=DATE(2026,4,1),INDEX('LP RMH'!$F:$F,MATCH(TRIM(F589),'LP RMH'!$A:$A,0)),INDEX('LP RMH'!$E:$E,MATCH(TRIM(F589),'LP RMH'!$A:$A,0))),0),IFERROR(INDEX('LP MONCAR'!$E:$E,MATCH(TRIM(F589),'LP MONCAR'!$A:$A,0)),0)))</f>
        <v/>
      </c>
    </row>
    <row r="590">
      <c r="A590" s="37" t="n"/>
      <c r="E590" s="16">
        <f>IFERROR(IF(LEFT(F590,2)="RM","RMH","MONCAR"),"")</f>
        <v/>
      </c>
      <c r="J590">
        <f>IF(TRIM(F590)="","",IF(LEFT(TRIM(F590),2)="RM",IFERROR(IF(D590&gt;=DATE(2026,4,1),INDEX('LP RMH'!$F:$F,MATCH(TRIM(F590),'LP RMH'!$A:$A,0)),INDEX('LP RMH'!$E:$E,MATCH(TRIM(F590),'LP RMH'!$A:$A,0))),0),IFERROR(INDEX('LP MONCAR'!$E:$E,MATCH(TRIM(F590),'LP MONCAR'!$A:$A,0)),0)))</f>
        <v/>
      </c>
    </row>
    <row r="591">
      <c r="A591" s="37" t="n"/>
      <c r="E591" s="16">
        <f>IFERROR(IF(LEFT(F591,2)="RM","RMH","MONCAR"),"")</f>
        <v/>
      </c>
      <c r="J591">
        <f>IF(TRIM(F591)="","",IF(LEFT(TRIM(F591),2)="RM",IFERROR(IF(D591&gt;=DATE(2026,4,1),INDEX('LP RMH'!$F:$F,MATCH(TRIM(F591),'LP RMH'!$A:$A,0)),INDEX('LP RMH'!$E:$E,MATCH(TRIM(F591),'LP RMH'!$A:$A,0))),0),IFERROR(INDEX('LP MONCAR'!$E:$E,MATCH(TRIM(F591),'LP MONCAR'!$A:$A,0)),0)))</f>
        <v/>
      </c>
    </row>
    <row r="592">
      <c r="A592" s="37" t="n"/>
      <c r="E592" s="16">
        <f>IFERROR(IF(LEFT(F592,2)="RM","RMH","MONCAR"),"")</f>
        <v/>
      </c>
      <c r="J592">
        <f>IF(TRIM(F592)="","",IF(LEFT(TRIM(F592),2)="RM",IFERROR(IF(D592&gt;=DATE(2026,4,1),INDEX('LP RMH'!$F:$F,MATCH(TRIM(F592),'LP RMH'!$A:$A,0)),INDEX('LP RMH'!$E:$E,MATCH(TRIM(F592),'LP RMH'!$A:$A,0))),0),IFERROR(INDEX('LP MONCAR'!$E:$E,MATCH(TRIM(F592),'LP MONCAR'!$A:$A,0)),0)))</f>
        <v/>
      </c>
    </row>
    <row r="593">
      <c r="A593" s="37" t="n"/>
      <c r="E593" s="16">
        <f>IFERROR(IF(LEFT(F593,2)="RM","RMH","MONCAR"),"")</f>
        <v/>
      </c>
      <c r="J593">
        <f>IF(TRIM(F593)="","",IF(LEFT(TRIM(F593),2)="RM",IFERROR(IF(D593&gt;=DATE(2026,4,1),INDEX('LP RMH'!$F:$F,MATCH(TRIM(F593),'LP RMH'!$A:$A,0)),INDEX('LP RMH'!$E:$E,MATCH(TRIM(F593),'LP RMH'!$A:$A,0))),0),IFERROR(INDEX('LP MONCAR'!$E:$E,MATCH(TRIM(F593),'LP MONCAR'!$A:$A,0)),0)))</f>
        <v/>
      </c>
    </row>
    <row r="594">
      <c r="A594" s="37" t="n"/>
      <c r="E594" s="16">
        <f>IFERROR(IF(LEFT(F594,2)="RM","RMH","MONCAR"),"")</f>
        <v/>
      </c>
      <c r="J594">
        <f>IF(TRIM(F594)="","",IF(LEFT(TRIM(F594),2)="RM",IFERROR(IF(D594&gt;=DATE(2026,4,1),INDEX('LP RMH'!$F:$F,MATCH(TRIM(F594),'LP RMH'!$A:$A,0)),INDEX('LP RMH'!$E:$E,MATCH(TRIM(F594),'LP RMH'!$A:$A,0))),0),IFERROR(INDEX('LP MONCAR'!$E:$E,MATCH(TRIM(F594),'LP MONCAR'!$A:$A,0)),0)))</f>
        <v/>
      </c>
    </row>
    <row r="595">
      <c r="A595" s="37" t="n"/>
      <c r="E595" s="16">
        <f>IFERROR(IF(LEFT(F595,2)="RM","RMH","MONCAR"),"")</f>
        <v/>
      </c>
      <c r="J595">
        <f>IF(TRIM(F595)="","",IF(LEFT(TRIM(F595),2)="RM",IFERROR(IF(D595&gt;=DATE(2026,4,1),INDEX('LP RMH'!$F:$F,MATCH(TRIM(F595),'LP RMH'!$A:$A,0)),INDEX('LP RMH'!$E:$E,MATCH(TRIM(F595),'LP RMH'!$A:$A,0))),0),IFERROR(INDEX('LP MONCAR'!$E:$E,MATCH(TRIM(F595),'LP MONCAR'!$A:$A,0)),0)))</f>
        <v/>
      </c>
    </row>
    <row r="596">
      <c r="A596" s="37" t="n"/>
      <c r="E596" s="16">
        <f>IFERROR(IF(LEFT(F596,2)="RM","RMH","MONCAR"),"")</f>
        <v/>
      </c>
      <c r="J596">
        <f>IF(TRIM(F596)="","",IF(LEFT(TRIM(F596),2)="RM",IFERROR(IF(D596&gt;=DATE(2026,4,1),INDEX('LP RMH'!$F:$F,MATCH(TRIM(F596),'LP RMH'!$A:$A,0)),INDEX('LP RMH'!$E:$E,MATCH(TRIM(F596),'LP RMH'!$A:$A,0))),0),IFERROR(INDEX('LP MONCAR'!$E:$E,MATCH(TRIM(F596),'LP MONCAR'!$A:$A,0)),0)))</f>
        <v/>
      </c>
    </row>
    <row r="597">
      <c r="A597" s="37" t="n"/>
      <c r="E597" s="16">
        <f>IFERROR(IF(LEFT(F597,2)="RM","RMH","MONCAR"),"")</f>
        <v/>
      </c>
      <c r="J597">
        <f>IF(TRIM(F597)="","",IF(LEFT(TRIM(F597),2)="RM",IFERROR(IF(D597&gt;=DATE(2026,4,1),INDEX('LP RMH'!$F:$F,MATCH(TRIM(F597),'LP RMH'!$A:$A,0)),INDEX('LP RMH'!$E:$E,MATCH(TRIM(F597),'LP RMH'!$A:$A,0))),0),IFERROR(INDEX('LP MONCAR'!$E:$E,MATCH(TRIM(F597),'LP MONCAR'!$A:$A,0)),0)))</f>
        <v/>
      </c>
    </row>
    <row r="598">
      <c r="A598" s="37" t="n"/>
      <c r="E598" s="16">
        <f>IFERROR(IF(LEFT(F598,2)="RM","RMH","MONCAR"),"")</f>
        <v/>
      </c>
      <c r="J598">
        <f>IF(TRIM(F598)="","",IF(LEFT(TRIM(F598),2)="RM",IFERROR(IF(D598&gt;=DATE(2026,4,1),INDEX('LP RMH'!$F:$F,MATCH(TRIM(F598),'LP RMH'!$A:$A,0)),INDEX('LP RMH'!$E:$E,MATCH(TRIM(F598),'LP RMH'!$A:$A,0))),0),IFERROR(INDEX('LP MONCAR'!$E:$E,MATCH(TRIM(F598),'LP MONCAR'!$A:$A,0)),0)))</f>
        <v/>
      </c>
    </row>
    <row r="599">
      <c r="A599" s="37" t="n"/>
      <c r="E599" s="16">
        <f>IFERROR(IF(LEFT(F599,2)="RM","RMH","MONCAR"),"")</f>
        <v/>
      </c>
      <c r="J599">
        <f>IF(TRIM(F599)="","",IF(LEFT(TRIM(F599),2)="RM",IFERROR(IF(D599&gt;=DATE(2026,4,1),INDEX('LP RMH'!$F:$F,MATCH(TRIM(F599),'LP RMH'!$A:$A,0)),INDEX('LP RMH'!$E:$E,MATCH(TRIM(F599),'LP RMH'!$A:$A,0))),0),IFERROR(INDEX('LP MONCAR'!$E:$E,MATCH(TRIM(F599),'LP MONCAR'!$A:$A,0)),0)))</f>
        <v/>
      </c>
    </row>
    <row r="600">
      <c r="A600" s="37" t="n"/>
      <c r="E600" s="16">
        <f>IFERROR(IF(LEFT(F600,2)="RM","RMH","MONCAR"),"")</f>
        <v/>
      </c>
      <c r="J600">
        <f>IF(TRIM(F600)="","",IF(LEFT(TRIM(F600),2)="RM",IFERROR(IF(D600&gt;=DATE(2026,4,1),INDEX('LP RMH'!$F:$F,MATCH(TRIM(F600),'LP RMH'!$A:$A,0)),INDEX('LP RMH'!$E:$E,MATCH(TRIM(F600),'LP RMH'!$A:$A,0))),0),IFERROR(INDEX('LP MONCAR'!$E:$E,MATCH(TRIM(F600),'LP MONCAR'!$A:$A,0)),0)))</f>
        <v/>
      </c>
    </row>
    <row r="601">
      <c r="A601" s="37" t="n"/>
      <c r="E601" s="16">
        <f>IFERROR(IF(LEFT(F601,2)="RM","RMH","MONCAR"),"")</f>
        <v/>
      </c>
      <c r="J601">
        <f>IF(TRIM(F601)="","",IF(LEFT(TRIM(F601),2)="RM",IFERROR(IF(D601&gt;=DATE(2026,4,1),INDEX('LP RMH'!$F:$F,MATCH(TRIM(F601),'LP RMH'!$A:$A,0)),INDEX('LP RMH'!$E:$E,MATCH(TRIM(F601),'LP RMH'!$A:$A,0))),0),IFERROR(INDEX('LP MONCAR'!$E:$E,MATCH(TRIM(F601),'LP MONCAR'!$A:$A,0)),0)))</f>
        <v/>
      </c>
    </row>
    <row r="602">
      <c r="A602" s="37" t="n"/>
      <c r="E602" s="16">
        <f>IFERROR(IF(LEFT(F602,2)="RM","RMH","MONCAR"),"")</f>
        <v/>
      </c>
      <c r="J602">
        <f>IF(TRIM(F602)="","",IF(LEFT(TRIM(F602),2)="RM",IFERROR(IF(D602&gt;=DATE(2026,4,1),INDEX('LP RMH'!$F:$F,MATCH(TRIM(F602),'LP RMH'!$A:$A,0)),INDEX('LP RMH'!$E:$E,MATCH(TRIM(F602),'LP RMH'!$A:$A,0))),0),IFERROR(INDEX('LP MONCAR'!$E:$E,MATCH(TRIM(F602),'LP MONCAR'!$A:$A,0)),0)))</f>
        <v/>
      </c>
    </row>
    <row r="603">
      <c r="A603" s="37" t="n"/>
      <c r="E603" s="16">
        <f>IFERROR(IF(LEFT(F603,2)="RM","RMH","MONCAR"),"")</f>
        <v/>
      </c>
      <c r="J603">
        <f>IF(TRIM(F603)="","",IF(LEFT(TRIM(F603),2)="RM",IFERROR(IF(D603&gt;=DATE(2026,4,1),INDEX('LP RMH'!$F:$F,MATCH(TRIM(F603),'LP RMH'!$A:$A,0)),INDEX('LP RMH'!$E:$E,MATCH(TRIM(F603),'LP RMH'!$A:$A,0))),0),IFERROR(INDEX('LP MONCAR'!$E:$E,MATCH(TRIM(F603),'LP MONCAR'!$A:$A,0)),0)))</f>
        <v/>
      </c>
    </row>
    <row r="604">
      <c r="A604" s="37" t="n"/>
      <c r="E604" s="16">
        <f>IFERROR(IF(LEFT(F604,2)="RM","RMH","MONCAR"),"")</f>
        <v/>
      </c>
      <c r="J604">
        <f>IF(TRIM(F604)="","",IF(LEFT(TRIM(F604),2)="RM",IFERROR(IF(D604&gt;=DATE(2026,4,1),INDEX('LP RMH'!$F:$F,MATCH(TRIM(F604),'LP RMH'!$A:$A,0)),INDEX('LP RMH'!$E:$E,MATCH(TRIM(F604),'LP RMH'!$A:$A,0))),0),IFERROR(INDEX('LP MONCAR'!$E:$E,MATCH(TRIM(F604),'LP MONCAR'!$A:$A,0)),0)))</f>
        <v/>
      </c>
    </row>
    <row r="605">
      <c r="A605" s="37" t="n"/>
      <c r="E605" s="16">
        <f>IFERROR(IF(LEFT(F605,2)="RM","RMH","MONCAR"),"")</f>
        <v/>
      </c>
      <c r="J605">
        <f>IF(TRIM(F605)="","",IF(LEFT(TRIM(F605),2)="RM",IFERROR(IF(D605&gt;=DATE(2026,4,1),INDEX('LP RMH'!$F:$F,MATCH(TRIM(F605),'LP RMH'!$A:$A,0)),INDEX('LP RMH'!$E:$E,MATCH(TRIM(F605),'LP RMH'!$A:$A,0))),0),IFERROR(INDEX('LP MONCAR'!$E:$E,MATCH(TRIM(F605),'LP MONCAR'!$A:$A,0)),0)))</f>
        <v/>
      </c>
    </row>
    <row r="606">
      <c r="A606" s="37" t="n"/>
      <c r="E606" s="16">
        <f>IFERROR(IF(LEFT(F606,2)="RM","RMH","MONCAR"),"")</f>
        <v/>
      </c>
      <c r="J606">
        <f>IF(TRIM(F606)="","",IF(LEFT(TRIM(F606),2)="RM",IFERROR(IF(D606&gt;=DATE(2026,4,1),INDEX('LP RMH'!$F:$F,MATCH(TRIM(F606),'LP RMH'!$A:$A,0)),INDEX('LP RMH'!$E:$E,MATCH(TRIM(F606),'LP RMH'!$A:$A,0))),0),IFERROR(INDEX('LP MONCAR'!$E:$E,MATCH(TRIM(F606),'LP MONCAR'!$A:$A,0)),0)))</f>
        <v/>
      </c>
    </row>
    <row r="607">
      <c r="A607" s="37" t="n"/>
      <c r="E607" s="16">
        <f>IFERROR(IF(LEFT(F607,2)="RM","RMH","MONCAR"),"")</f>
        <v/>
      </c>
      <c r="J607">
        <f>IF(TRIM(F607)="","",IF(LEFT(TRIM(F607),2)="RM",IFERROR(IF(D607&gt;=DATE(2026,4,1),INDEX('LP RMH'!$F:$F,MATCH(TRIM(F607),'LP RMH'!$A:$A,0)),INDEX('LP RMH'!$E:$E,MATCH(TRIM(F607),'LP RMH'!$A:$A,0))),0),IFERROR(INDEX('LP MONCAR'!$E:$E,MATCH(TRIM(F607),'LP MONCAR'!$A:$A,0)),0)))</f>
        <v/>
      </c>
    </row>
    <row r="608">
      <c r="A608" s="37" t="n"/>
      <c r="E608" s="16">
        <f>IFERROR(IF(LEFT(F608,2)="RM","RMH","MONCAR"),"")</f>
        <v/>
      </c>
      <c r="J608">
        <f>IF(TRIM(F608)="","",IF(LEFT(TRIM(F608),2)="RM",IFERROR(IF(D608&gt;=DATE(2026,4,1),INDEX('LP RMH'!$F:$F,MATCH(TRIM(F608),'LP RMH'!$A:$A,0)),INDEX('LP RMH'!$E:$E,MATCH(TRIM(F608),'LP RMH'!$A:$A,0))),0),IFERROR(INDEX('LP MONCAR'!$E:$E,MATCH(TRIM(F608),'LP MONCAR'!$A:$A,0)),0)))</f>
        <v/>
      </c>
    </row>
    <row r="609">
      <c r="A609" s="37" t="n"/>
      <c r="E609" s="16">
        <f>IFERROR(IF(LEFT(F609,2)="RM","RMH","MONCAR"),"")</f>
        <v/>
      </c>
      <c r="J609">
        <f>IF(TRIM(F609)="","",IF(LEFT(TRIM(F609),2)="RM",IFERROR(IF(D609&gt;=DATE(2026,4,1),INDEX('LP RMH'!$F:$F,MATCH(TRIM(F609),'LP RMH'!$A:$A,0)),INDEX('LP RMH'!$E:$E,MATCH(TRIM(F609),'LP RMH'!$A:$A,0))),0),IFERROR(INDEX('LP MONCAR'!$E:$E,MATCH(TRIM(F609),'LP MONCAR'!$A:$A,0)),0)))</f>
        <v/>
      </c>
    </row>
    <row r="610">
      <c r="A610" s="37" t="n"/>
      <c r="E610" s="16">
        <f>IFERROR(IF(LEFT(F610,2)="RM","RMH","MONCAR"),"")</f>
        <v/>
      </c>
      <c r="J610">
        <f>IF(TRIM(F610)="","",IF(LEFT(TRIM(F610),2)="RM",IFERROR(IF(D610&gt;=DATE(2026,4,1),INDEX('LP RMH'!$F:$F,MATCH(TRIM(F610),'LP RMH'!$A:$A,0)),INDEX('LP RMH'!$E:$E,MATCH(TRIM(F610),'LP RMH'!$A:$A,0))),0),IFERROR(INDEX('LP MONCAR'!$E:$E,MATCH(TRIM(F610),'LP MONCAR'!$A:$A,0)),0)))</f>
        <v/>
      </c>
    </row>
    <row r="611">
      <c r="A611" s="37" t="n"/>
      <c r="E611" s="16">
        <f>IFERROR(IF(LEFT(F611,2)="RM","RMH","MONCAR"),"")</f>
        <v/>
      </c>
      <c r="J611">
        <f>IF(TRIM(F611)="","",IF(LEFT(TRIM(F611),2)="RM",IFERROR(IF(D611&gt;=DATE(2026,4,1),INDEX('LP RMH'!$F:$F,MATCH(TRIM(F611),'LP RMH'!$A:$A,0)),INDEX('LP RMH'!$E:$E,MATCH(TRIM(F611),'LP RMH'!$A:$A,0))),0),IFERROR(INDEX('LP MONCAR'!$E:$E,MATCH(TRIM(F611),'LP MONCAR'!$A:$A,0)),0)))</f>
        <v/>
      </c>
    </row>
    <row r="612">
      <c r="A612" s="37" t="n"/>
      <c r="E612" s="16">
        <f>IFERROR(IF(LEFT(F612,2)="RM","RMH","MONCAR"),"")</f>
        <v/>
      </c>
      <c r="J612">
        <f>IF(TRIM(F612)="","",IF(LEFT(TRIM(F612),2)="RM",IFERROR(IF(D612&gt;=DATE(2026,4,1),INDEX('LP RMH'!$F:$F,MATCH(TRIM(F612),'LP RMH'!$A:$A,0)),INDEX('LP RMH'!$E:$E,MATCH(TRIM(F612),'LP RMH'!$A:$A,0))),0),IFERROR(INDEX('LP MONCAR'!$E:$E,MATCH(TRIM(F612),'LP MONCAR'!$A:$A,0)),0)))</f>
        <v/>
      </c>
    </row>
    <row r="613">
      <c r="A613" s="37" t="n"/>
      <c r="E613" s="16">
        <f>IFERROR(IF(LEFT(F613,2)="RM","RMH","MONCAR"),"")</f>
        <v/>
      </c>
      <c r="J613">
        <f>IF(TRIM(F613)="","",IF(LEFT(TRIM(F613),2)="RM",IFERROR(IF(D613&gt;=DATE(2026,4,1),INDEX('LP RMH'!$F:$F,MATCH(TRIM(F613),'LP RMH'!$A:$A,0)),INDEX('LP RMH'!$E:$E,MATCH(TRIM(F613),'LP RMH'!$A:$A,0))),0),IFERROR(INDEX('LP MONCAR'!$E:$E,MATCH(TRIM(F613),'LP MONCAR'!$A:$A,0)),0)))</f>
        <v/>
      </c>
    </row>
    <row r="614">
      <c r="A614" s="37" t="n"/>
      <c r="E614" s="16">
        <f>IFERROR(IF(LEFT(F614,2)="RM","RMH","MONCAR"),"")</f>
        <v/>
      </c>
      <c r="J614">
        <f>IF(TRIM(F614)="","",IF(LEFT(TRIM(F614),2)="RM",IFERROR(IF(D614&gt;=DATE(2026,4,1),INDEX('LP RMH'!$F:$F,MATCH(TRIM(F614),'LP RMH'!$A:$A,0)),INDEX('LP RMH'!$E:$E,MATCH(TRIM(F614),'LP RMH'!$A:$A,0))),0),IFERROR(INDEX('LP MONCAR'!$E:$E,MATCH(TRIM(F614),'LP MONCAR'!$A:$A,0)),0)))</f>
        <v/>
      </c>
    </row>
    <row r="615">
      <c r="A615" s="37" t="n"/>
      <c r="E615" s="16">
        <f>IFERROR(IF(LEFT(F615,2)="RM","RMH","MONCAR"),"")</f>
        <v/>
      </c>
      <c r="J615">
        <f>IF(TRIM(F615)="","",IF(LEFT(TRIM(F615),2)="RM",IFERROR(IF(D615&gt;=DATE(2026,4,1),INDEX('LP RMH'!$F:$F,MATCH(TRIM(F615),'LP RMH'!$A:$A,0)),INDEX('LP RMH'!$E:$E,MATCH(TRIM(F615),'LP RMH'!$A:$A,0))),0),IFERROR(INDEX('LP MONCAR'!$E:$E,MATCH(TRIM(F615),'LP MONCAR'!$A:$A,0)),0)))</f>
        <v/>
      </c>
    </row>
    <row r="616">
      <c r="A616" s="37" t="n"/>
      <c r="E616" s="16">
        <f>IFERROR(IF(LEFT(F616,2)="RM","RMH","MONCAR"),"")</f>
        <v/>
      </c>
      <c r="J616">
        <f>IF(TRIM(F616)="","",IF(LEFT(TRIM(F616),2)="RM",IFERROR(IF(D616&gt;=DATE(2026,4,1),INDEX('LP RMH'!$F:$F,MATCH(TRIM(F616),'LP RMH'!$A:$A,0)),INDEX('LP RMH'!$E:$E,MATCH(TRIM(F616),'LP RMH'!$A:$A,0))),0),IFERROR(INDEX('LP MONCAR'!$E:$E,MATCH(TRIM(F616),'LP MONCAR'!$A:$A,0)),0)))</f>
        <v/>
      </c>
    </row>
    <row r="617">
      <c r="A617" s="37" t="n"/>
      <c r="E617" s="16">
        <f>IFERROR(IF(LEFT(F617,2)="RM","RMH","MONCAR"),"")</f>
        <v/>
      </c>
      <c r="J617">
        <f>IF(TRIM(F617)="","",IF(LEFT(TRIM(F617),2)="RM",IFERROR(IF(D617&gt;=DATE(2026,4,1),INDEX('LP RMH'!$F:$F,MATCH(TRIM(F617),'LP RMH'!$A:$A,0)),INDEX('LP RMH'!$E:$E,MATCH(TRIM(F617),'LP RMH'!$A:$A,0))),0),IFERROR(INDEX('LP MONCAR'!$E:$E,MATCH(TRIM(F617),'LP MONCAR'!$A:$A,0)),0)))</f>
        <v/>
      </c>
    </row>
    <row r="618">
      <c r="A618" s="37" t="n"/>
      <c r="E618" s="16">
        <f>IFERROR(IF(LEFT(F618,2)="RM","RMH","MONCAR"),"")</f>
        <v/>
      </c>
      <c r="J618">
        <f>IF(TRIM(F618)="","",IF(LEFT(TRIM(F618),2)="RM",IFERROR(IF(D618&gt;=DATE(2026,4,1),INDEX('LP RMH'!$F:$F,MATCH(TRIM(F618),'LP RMH'!$A:$A,0)),INDEX('LP RMH'!$E:$E,MATCH(TRIM(F618),'LP RMH'!$A:$A,0))),0),IFERROR(INDEX('LP MONCAR'!$E:$E,MATCH(TRIM(F618),'LP MONCAR'!$A:$A,0)),0)))</f>
        <v/>
      </c>
    </row>
    <row r="619">
      <c r="A619" s="37" t="n"/>
      <c r="E619" s="16">
        <f>IFERROR(IF(LEFT(F619,2)="RM","RMH","MONCAR"),"")</f>
        <v/>
      </c>
      <c r="J619">
        <f>IF(TRIM(F619)="","",IF(LEFT(TRIM(F619),2)="RM",IFERROR(IF(D619&gt;=DATE(2026,4,1),INDEX('LP RMH'!$F:$F,MATCH(TRIM(F619),'LP RMH'!$A:$A,0)),INDEX('LP RMH'!$E:$E,MATCH(TRIM(F619),'LP RMH'!$A:$A,0))),0),IFERROR(INDEX('LP MONCAR'!$E:$E,MATCH(TRIM(F619),'LP MONCAR'!$A:$A,0)),0)))</f>
        <v/>
      </c>
    </row>
    <row r="620">
      <c r="A620" s="37" t="n"/>
      <c r="E620" s="16">
        <f>IFERROR(IF(LEFT(F620,2)="RM","RMH","MONCAR"),"")</f>
        <v/>
      </c>
      <c r="J620">
        <f>IF(TRIM(F620)="","",IF(LEFT(TRIM(F620),2)="RM",IFERROR(IF(D620&gt;=DATE(2026,4,1),INDEX('LP RMH'!$F:$F,MATCH(TRIM(F620),'LP RMH'!$A:$A,0)),INDEX('LP RMH'!$E:$E,MATCH(TRIM(F620),'LP RMH'!$A:$A,0))),0),IFERROR(INDEX('LP MONCAR'!$E:$E,MATCH(TRIM(F620),'LP MONCAR'!$A:$A,0)),0)))</f>
        <v/>
      </c>
    </row>
    <row r="621">
      <c r="A621" s="37" t="n"/>
      <c r="E621" s="16">
        <f>IFERROR(IF(LEFT(F621,2)="RM","RMH","MONCAR"),"")</f>
        <v/>
      </c>
      <c r="J621">
        <f>IF(TRIM(F621)="","",IF(LEFT(TRIM(F621),2)="RM",IFERROR(IF(D621&gt;=DATE(2026,4,1),INDEX('LP RMH'!$F:$F,MATCH(TRIM(F621),'LP RMH'!$A:$A,0)),INDEX('LP RMH'!$E:$E,MATCH(TRIM(F621),'LP RMH'!$A:$A,0))),0),IFERROR(INDEX('LP MONCAR'!$E:$E,MATCH(TRIM(F621),'LP MONCAR'!$A:$A,0)),0)))</f>
        <v/>
      </c>
    </row>
    <row r="622">
      <c r="A622" s="37" t="n"/>
      <c r="E622" s="16">
        <f>IFERROR(IF(LEFT(F622,2)="RM","RMH","MONCAR"),"")</f>
        <v/>
      </c>
      <c r="J622">
        <f>IF(TRIM(F622)="","",IF(LEFT(TRIM(F622),2)="RM",IFERROR(IF(D622&gt;=DATE(2026,4,1),INDEX('LP RMH'!$F:$F,MATCH(TRIM(F622),'LP RMH'!$A:$A,0)),INDEX('LP RMH'!$E:$E,MATCH(TRIM(F622),'LP RMH'!$A:$A,0))),0),IFERROR(INDEX('LP MONCAR'!$E:$E,MATCH(TRIM(F622),'LP MONCAR'!$A:$A,0)),0)))</f>
        <v/>
      </c>
    </row>
    <row r="623">
      <c r="A623" s="37" t="n"/>
      <c r="E623" s="16">
        <f>IFERROR(IF(LEFT(F623,2)="RM","RMH","MONCAR"),"")</f>
        <v/>
      </c>
      <c r="J623">
        <f>IF(TRIM(F623)="","",IF(LEFT(TRIM(F623),2)="RM",IFERROR(IF(D623&gt;=DATE(2026,4,1),INDEX('LP RMH'!$F:$F,MATCH(TRIM(F623),'LP RMH'!$A:$A,0)),INDEX('LP RMH'!$E:$E,MATCH(TRIM(F623),'LP RMH'!$A:$A,0))),0),IFERROR(INDEX('LP MONCAR'!$E:$E,MATCH(TRIM(F623),'LP MONCAR'!$A:$A,0)),0)))</f>
        <v/>
      </c>
    </row>
    <row r="624">
      <c r="A624" s="37" t="n"/>
      <c r="E624" s="16">
        <f>IFERROR(IF(LEFT(F624,2)="RM","RMH","MONCAR"),"")</f>
        <v/>
      </c>
      <c r="J624">
        <f>IF(TRIM(F624)="","",IF(LEFT(TRIM(F624),2)="RM",IFERROR(IF(D624&gt;=DATE(2026,4,1),INDEX('LP RMH'!$F:$F,MATCH(TRIM(F624),'LP RMH'!$A:$A,0)),INDEX('LP RMH'!$E:$E,MATCH(TRIM(F624),'LP RMH'!$A:$A,0))),0),IFERROR(INDEX('LP MONCAR'!$E:$E,MATCH(TRIM(F624),'LP MONCAR'!$A:$A,0)),0)))</f>
        <v/>
      </c>
    </row>
    <row r="625">
      <c r="A625" s="37" t="n"/>
      <c r="E625" s="16">
        <f>IFERROR(IF(LEFT(F625,2)="RM","RMH","MONCAR"),"")</f>
        <v/>
      </c>
      <c r="J625">
        <f>IF(TRIM(F625)="","",IF(LEFT(TRIM(F625),2)="RM",IFERROR(IF(D625&gt;=DATE(2026,4,1),INDEX('LP RMH'!$F:$F,MATCH(TRIM(F625),'LP RMH'!$A:$A,0)),INDEX('LP RMH'!$E:$E,MATCH(TRIM(F625),'LP RMH'!$A:$A,0))),0),IFERROR(INDEX('LP MONCAR'!$E:$E,MATCH(TRIM(F625),'LP MONCAR'!$A:$A,0)),0)))</f>
        <v/>
      </c>
    </row>
    <row r="626">
      <c r="A626" s="37" t="n"/>
      <c r="E626" s="16">
        <f>IFERROR(IF(LEFT(F626,2)="RM","RMH","MONCAR"),"")</f>
        <v/>
      </c>
      <c r="J626">
        <f>IF(TRIM(F626)="","",IF(LEFT(TRIM(F626),2)="RM",IFERROR(IF(D626&gt;=DATE(2026,4,1),INDEX('LP RMH'!$F:$F,MATCH(TRIM(F626),'LP RMH'!$A:$A,0)),INDEX('LP RMH'!$E:$E,MATCH(TRIM(F626),'LP RMH'!$A:$A,0))),0),IFERROR(INDEX('LP MONCAR'!$E:$E,MATCH(TRIM(F626),'LP MONCAR'!$A:$A,0)),0)))</f>
        <v/>
      </c>
    </row>
    <row r="627">
      <c r="A627" s="37" t="n"/>
      <c r="E627" s="16">
        <f>IFERROR(IF(LEFT(F627,2)="RM","RMH","MONCAR"),"")</f>
        <v/>
      </c>
      <c r="J627">
        <f>IF(TRIM(F627)="","",IF(LEFT(TRIM(F627),2)="RM",IFERROR(IF(D627&gt;=DATE(2026,4,1),INDEX('LP RMH'!$F:$F,MATCH(TRIM(F627),'LP RMH'!$A:$A,0)),INDEX('LP RMH'!$E:$E,MATCH(TRIM(F627),'LP RMH'!$A:$A,0))),0),IFERROR(INDEX('LP MONCAR'!$E:$E,MATCH(TRIM(F627),'LP MONCAR'!$A:$A,0)),0)))</f>
        <v/>
      </c>
    </row>
    <row r="628">
      <c r="A628" s="37" t="n"/>
      <c r="E628" s="16">
        <f>IFERROR(IF(LEFT(F628,2)="RM","RMH","MONCAR"),"")</f>
        <v/>
      </c>
      <c r="J628">
        <f>IF(TRIM(F628)="","",IF(LEFT(TRIM(F628),2)="RM",IFERROR(IF(D628&gt;=DATE(2026,4,1),INDEX('LP RMH'!$F:$F,MATCH(TRIM(F628),'LP RMH'!$A:$A,0)),INDEX('LP RMH'!$E:$E,MATCH(TRIM(F628),'LP RMH'!$A:$A,0))),0),IFERROR(INDEX('LP MONCAR'!$E:$E,MATCH(TRIM(F628),'LP MONCAR'!$A:$A,0)),0)))</f>
        <v/>
      </c>
    </row>
    <row r="629">
      <c r="A629" s="37" t="n"/>
      <c r="E629" s="16">
        <f>IFERROR(IF(LEFT(F629,2)="RM","RMH","MONCAR"),"")</f>
        <v/>
      </c>
      <c r="J629">
        <f>IF(TRIM(F629)="","",IF(LEFT(TRIM(F629),2)="RM",IFERROR(IF(D629&gt;=DATE(2026,4,1),INDEX('LP RMH'!$F:$F,MATCH(TRIM(F629),'LP RMH'!$A:$A,0)),INDEX('LP RMH'!$E:$E,MATCH(TRIM(F629),'LP RMH'!$A:$A,0))),0),IFERROR(INDEX('LP MONCAR'!$E:$E,MATCH(TRIM(F629),'LP MONCAR'!$A:$A,0)),0)))</f>
        <v/>
      </c>
    </row>
    <row r="630">
      <c r="A630" s="37" t="n"/>
      <c r="E630" s="16">
        <f>IFERROR(IF(LEFT(F630,2)="RM","RMH","MONCAR"),"")</f>
        <v/>
      </c>
      <c r="J630">
        <f>IF(TRIM(F630)="","",IF(LEFT(TRIM(F630),2)="RM",IFERROR(IF(D630&gt;=DATE(2026,4,1),INDEX('LP RMH'!$F:$F,MATCH(TRIM(F630),'LP RMH'!$A:$A,0)),INDEX('LP RMH'!$E:$E,MATCH(TRIM(F630),'LP RMH'!$A:$A,0))),0),IFERROR(INDEX('LP MONCAR'!$E:$E,MATCH(TRIM(F630),'LP MONCAR'!$A:$A,0)),0)))</f>
        <v/>
      </c>
    </row>
    <row r="631">
      <c r="A631" s="37" t="n"/>
      <c r="E631" s="16">
        <f>IFERROR(IF(LEFT(F631,2)="RM","RMH","MONCAR"),"")</f>
        <v/>
      </c>
      <c r="J631">
        <f>IF(TRIM(F631)="","",IF(LEFT(TRIM(F631),2)="RM",IFERROR(IF(D631&gt;=DATE(2026,4,1),INDEX('LP RMH'!$F:$F,MATCH(TRIM(F631),'LP RMH'!$A:$A,0)),INDEX('LP RMH'!$E:$E,MATCH(TRIM(F631),'LP RMH'!$A:$A,0))),0),IFERROR(INDEX('LP MONCAR'!$E:$E,MATCH(TRIM(F631),'LP MONCAR'!$A:$A,0)),0)))</f>
        <v/>
      </c>
    </row>
    <row r="632">
      <c r="A632" s="37" t="n"/>
      <c r="E632" s="16">
        <f>IFERROR(IF(LEFT(F632,2)="RM","RMH","MONCAR"),"")</f>
        <v/>
      </c>
      <c r="J632">
        <f>IF(TRIM(F632)="","",IF(LEFT(TRIM(F632),2)="RM",IFERROR(IF(D632&gt;=DATE(2026,4,1),INDEX('LP RMH'!$F:$F,MATCH(TRIM(F632),'LP RMH'!$A:$A,0)),INDEX('LP RMH'!$E:$E,MATCH(TRIM(F632),'LP RMH'!$A:$A,0))),0),IFERROR(INDEX('LP MONCAR'!$E:$E,MATCH(TRIM(F632),'LP MONCAR'!$A:$A,0)),0)))</f>
        <v/>
      </c>
    </row>
    <row r="633">
      <c r="A633" s="37" t="n"/>
      <c r="E633" s="16">
        <f>IFERROR(IF(LEFT(F633,2)="RM","RMH","MONCAR"),"")</f>
        <v/>
      </c>
      <c r="J633">
        <f>IF(TRIM(F633)="","",IF(LEFT(TRIM(F633),2)="RM",IFERROR(IF(D633&gt;=DATE(2026,4,1),INDEX('LP RMH'!$F:$F,MATCH(TRIM(F633),'LP RMH'!$A:$A,0)),INDEX('LP RMH'!$E:$E,MATCH(TRIM(F633),'LP RMH'!$A:$A,0))),0),IFERROR(INDEX('LP MONCAR'!$E:$E,MATCH(TRIM(F633),'LP MONCAR'!$A:$A,0)),0)))</f>
        <v/>
      </c>
    </row>
    <row r="634">
      <c r="A634" s="37" t="n"/>
      <c r="E634" s="16">
        <f>IFERROR(IF(LEFT(F634,2)="RM","RMH","MONCAR"),"")</f>
        <v/>
      </c>
      <c r="J634">
        <f>IF(TRIM(F634)="","",IF(LEFT(TRIM(F634),2)="RM",IFERROR(IF(D634&gt;=DATE(2026,4,1),INDEX('LP RMH'!$F:$F,MATCH(TRIM(F634),'LP RMH'!$A:$A,0)),INDEX('LP RMH'!$E:$E,MATCH(TRIM(F634),'LP RMH'!$A:$A,0))),0),IFERROR(INDEX('LP MONCAR'!$E:$E,MATCH(TRIM(F634),'LP MONCAR'!$A:$A,0)),0)))</f>
        <v/>
      </c>
    </row>
    <row r="635">
      <c r="A635" s="37" t="n"/>
      <c r="E635" s="16">
        <f>IFERROR(IF(LEFT(F635,2)="RM","RMH","MONCAR"),"")</f>
        <v/>
      </c>
      <c r="J635">
        <f>IF(TRIM(F635)="","",IF(LEFT(TRIM(F635),2)="RM",IFERROR(IF(D635&gt;=DATE(2026,4,1),INDEX('LP RMH'!$F:$F,MATCH(TRIM(F635),'LP RMH'!$A:$A,0)),INDEX('LP RMH'!$E:$E,MATCH(TRIM(F635),'LP RMH'!$A:$A,0))),0),IFERROR(INDEX('LP MONCAR'!$E:$E,MATCH(TRIM(F635),'LP MONCAR'!$A:$A,0)),0)))</f>
        <v/>
      </c>
    </row>
    <row r="636">
      <c r="A636" s="37" t="n"/>
      <c r="E636" s="16">
        <f>IFERROR(IF(LEFT(F636,2)="RM","RMH","MONCAR"),"")</f>
        <v/>
      </c>
      <c r="J636">
        <f>IF(TRIM(F636)="","",IF(LEFT(TRIM(F636),2)="RM",IFERROR(IF(D636&gt;=DATE(2026,4,1),INDEX('LP RMH'!$F:$F,MATCH(TRIM(F636),'LP RMH'!$A:$A,0)),INDEX('LP RMH'!$E:$E,MATCH(TRIM(F636),'LP RMH'!$A:$A,0))),0),IFERROR(INDEX('LP MONCAR'!$E:$E,MATCH(TRIM(F636),'LP MONCAR'!$A:$A,0)),0)))</f>
        <v/>
      </c>
    </row>
    <row r="637">
      <c r="A637" s="37" t="n"/>
      <c r="E637" s="16">
        <f>IFERROR(IF(LEFT(F637,2)="RM","RMH","MONCAR"),"")</f>
        <v/>
      </c>
      <c r="J637">
        <f>IF(TRIM(F637)="","",IF(LEFT(TRIM(F637),2)="RM",IFERROR(IF(D637&gt;=DATE(2026,4,1),INDEX('LP RMH'!$F:$F,MATCH(TRIM(F637),'LP RMH'!$A:$A,0)),INDEX('LP RMH'!$E:$E,MATCH(TRIM(F637),'LP RMH'!$A:$A,0))),0),IFERROR(INDEX('LP MONCAR'!$E:$E,MATCH(TRIM(F637),'LP MONCAR'!$A:$A,0)),0)))</f>
        <v/>
      </c>
    </row>
    <row r="638">
      <c r="A638" s="37" t="n"/>
      <c r="E638" s="16">
        <f>IFERROR(IF(LEFT(F638,2)="RM","RMH","MONCAR"),"")</f>
        <v/>
      </c>
      <c r="J638">
        <f>IF(TRIM(F638)="","",IF(LEFT(TRIM(F638),2)="RM",IFERROR(IF(D638&gt;=DATE(2026,4,1),INDEX('LP RMH'!$F:$F,MATCH(TRIM(F638),'LP RMH'!$A:$A,0)),INDEX('LP RMH'!$E:$E,MATCH(TRIM(F638),'LP RMH'!$A:$A,0))),0),IFERROR(INDEX('LP MONCAR'!$E:$E,MATCH(TRIM(F638),'LP MONCAR'!$A:$A,0)),0)))</f>
        <v/>
      </c>
    </row>
    <row r="639">
      <c r="A639" s="37" t="n"/>
      <c r="E639" s="16">
        <f>IFERROR(IF(LEFT(F639,2)="RM","RMH","MONCAR"),"")</f>
        <v/>
      </c>
      <c r="J639">
        <f>IF(TRIM(F639)="","",IF(LEFT(TRIM(F639),2)="RM",IFERROR(IF(D639&gt;=DATE(2026,4,1),INDEX('LP RMH'!$F:$F,MATCH(TRIM(F639),'LP RMH'!$A:$A,0)),INDEX('LP RMH'!$E:$E,MATCH(TRIM(F639),'LP RMH'!$A:$A,0))),0),IFERROR(INDEX('LP MONCAR'!$E:$E,MATCH(TRIM(F639),'LP MONCAR'!$A:$A,0)),0)))</f>
        <v/>
      </c>
    </row>
    <row r="640">
      <c r="A640" s="37" t="n"/>
      <c r="E640" s="16">
        <f>IFERROR(IF(LEFT(F640,2)="RM","RMH","MONCAR"),"")</f>
        <v/>
      </c>
      <c r="J640">
        <f>IF(TRIM(F640)="","",IF(LEFT(TRIM(F640),2)="RM",IFERROR(IF(D640&gt;=DATE(2026,4,1),INDEX('LP RMH'!$F:$F,MATCH(TRIM(F640),'LP RMH'!$A:$A,0)),INDEX('LP RMH'!$E:$E,MATCH(TRIM(F640),'LP RMH'!$A:$A,0))),0),IFERROR(INDEX('LP MONCAR'!$E:$E,MATCH(TRIM(F640),'LP MONCAR'!$A:$A,0)),0)))</f>
        <v/>
      </c>
    </row>
    <row r="641">
      <c r="A641" s="37" t="n"/>
      <c r="E641" s="16">
        <f>IFERROR(IF(LEFT(F641,2)="RM","RMH","MONCAR"),"")</f>
        <v/>
      </c>
      <c r="J641">
        <f>IF(TRIM(F641)="","",IF(LEFT(TRIM(F641),2)="RM",IFERROR(IF(D641&gt;=DATE(2026,4,1),INDEX('LP RMH'!$F:$F,MATCH(TRIM(F641),'LP RMH'!$A:$A,0)),INDEX('LP RMH'!$E:$E,MATCH(TRIM(F641),'LP RMH'!$A:$A,0))),0),IFERROR(INDEX('LP MONCAR'!$E:$E,MATCH(TRIM(F641),'LP MONCAR'!$A:$A,0)),0)))</f>
        <v/>
      </c>
    </row>
    <row r="642">
      <c r="A642" s="37" t="n"/>
      <c r="E642" s="16">
        <f>IFERROR(IF(LEFT(F642,2)="RM","RMH","MONCAR"),"")</f>
        <v/>
      </c>
      <c r="J642">
        <f>IF(TRIM(F642)="","",IF(LEFT(TRIM(F642),2)="RM",IFERROR(IF(D642&gt;=DATE(2026,4,1),INDEX('LP RMH'!$F:$F,MATCH(TRIM(F642),'LP RMH'!$A:$A,0)),INDEX('LP RMH'!$E:$E,MATCH(TRIM(F642),'LP RMH'!$A:$A,0))),0),IFERROR(INDEX('LP MONCAR'!$E:$E,MATCH(TRIM(F642),'LP MONCAR'!$A:$A,0)),0)))</f>
        <v/>
      </c>
    </row>
    <row r="643">
      <c r="A643" s="37" t="n"/>
      <c r="E643" s="16">
        <f>IFERROR(IF(LEFT(F643,2)="RM","RMH","MONCAR"),"")</f>
        <v/>
      </c>
      <c r="J643">
        <f>IF(TRIM(F643)="","",IF(LEFT(TRIM(F643),2)="RM",IFERROR(IF(D643&gt;=DATE(2026,4,1),INDEX('LP RMH'!$F:$F,MATCH(TRIM(F643),'LP RMH'!$A:$A,0)),INDEX('LP RMH'!$E:$E,MATCH(TRIM(F643),'LP RMH'!$A:$A,0))),0),IFERROR(INDEX('LP MONCAR'!$E:$E,MATCH(TRIM(F643),'LP MONCAR'!$A:$A,0)),0)))</f>
        <v/>
      </c>
    </row>
    <row r="644">
      <c r="A644" s="37" t="n"/>
      <c r="E644" s="16">
        <f>IFERROR(IF(LEFT(F644,2)="RM","RMH","MONCAR"),"")</f>
        <v/>
      </c>
      <c r="J644">
        <f>IF(TRIM(F644)="","",IF(LEFT(TRIM(F644),2)="RM",IFERROR(IF(D644&gt;=DATE(2026,4,1),INDEX('LP RMH'!$F:$F,MATCH(TRIM(F644),'LP RMH'!$A:$A,0)),INDEX('LP RMH'!$E:$E,MATCH(TRIM(F644),'LP RMH'!$A:$A,0))),0),IFERROR(INDEX('LP MONCAR'!$E:$E,MATCH(TRIM(F644),'LP MONCAR'!$A:$A,0)),0)))</f>
        <v/>
      </c>
    </row>
    <row r="645">
      <c r="A645" s="37" t="n"/>
      <c r="E645" s="16">
        <f>IFERROR(IF(LEFT(F645,2)="RM","RMH","MONCAR"),"")</f>
        <v/>
      </c>
      <c r="J645">
        <f>IF(TRIM(F645)="","",IF(LEFT(TRIM(F645),2)="RM",IFERROR(IF(D645&gt;=DATE(2026,4,1),INDEX('LP RMH'!$F:$F,MATCH(TRIM(F645),'LP RMH'!$A:$A,0)),INDEX('LP RMH'!$E:$E,MATCH(TRIM(F645),'LP RMH'!$A:$A,0))),0),IFERROR(INDEX('LP MONCAR'!$E:$E,MATCH(TRIM(F645),'LP MONCAR'!$A:$A,0)),0)))</f>
        <v/>
      </c>
    </row>
    <row r="646">
      <c r="A646" s="37" t="n"/>
      <c r="E646" s="16">
        <f>IFERROR(IF(LEFT(F646,2)="RM","RMH","MONCAR"),"")</f>
        <v/>
      </c>
      <c r="J646">
        <f>IF(TRIM(F646)="","",IF(LEFT(TRIM(F646),2)="RM",IFERROR(IF(D646&gt;=DATE(2026,4,1),INDEX('LP RMH'!$F:$F,MATCH(TRIM(F646),'LP RMH'!$A:$A,0)),INDEX('LP RMH'!$E:$E,MATCH(TRIM(F646),'LP RMH'!$A:$A,0))),0),IFERROR(INDEX('LP MONCAR'!$E:$E,MATCH(TRIM(F646),'LP MONCAR'!$A:$A,0)),0)))</f>
        <v/>
      </c>
    </row>
    <row r="647">
      <c r="A647" s="37" t="n"/>
      <c r="E647" s="16">
        <f>IFERROR(IF(LEFT(F647,2)="RM","RMH","MONCAR"),"")</f>
        <v/>
      </c>
      <c r="J647">
        <f>IF(TRIM(F647)="","",IF(LEFT(TRIM(F647),2)="RM",IFERROR(IF(D647&gt;=DATE(2026,4,1),INDEX('LP RMH'!$F:$F,MATCH(TRIM(F647),'LP RMH'!$A:$A,0)),INDEX('LP RMH'!$E:$E,MATCH(TRIM(F647),'LP RMH'!$A:$A,0))),0),IFERROR(INDEX('LP MONCAR'!$E:$E,MATCH(TRIM(F647),'LP MONCAR'!$A:$A,0)),0)))</f>
        <v/>
      </c>
    </row>
    <row r="648">
      <c r="A648" s="37" t="n"/>
      <c r="E648" s="16">
        <f>IFERROR(IF(LEFT(F648,2)="RM","RMH","MONCAR"),"")</f>
        <v/>
      </c>
      <c r="J648">
        <f>IF(TRIM(F648)="","",IF(LEFT(TRIM(F648),2)="RM",IFERROR(IF(D648&gt;=DATE(2026,4,1),INDEX('LP RMH'!$F:$F,MATCH(TRIM(F648),'LP RMH'!$A:$A,0)),INDEX('LP RMH'!$E:$E,MATCH(TRIM(F648),'LP RMH'!$A:$A,0))),0),IFERROR(INDEX('LP MONCAR'!$E:$E,MATCH(TRIM(F648),'LP MONCAR'!$A:$A,0)),0)))</f>
        <v/>
      </c>
    </row>
    <row r="649">
      <c r="A649" s="37" t="n"/>
      <c r="E649" s="16">
        <f>IFERROR(IF(LEFT(F649,2)="RM","RMH","MONCAR"),"")</f>
        <v/>
      </c>
      <c r="J649">
        <f>IF(TRIM(F649)="","",IF(LEFT(TRIM(F649),2)="RM",IFERROR(IF(D649&gt;=DATE(2026,4,1),INDEX('LP RMH'!$F:$F,MATCH(TRIM(F649),'LP RMH'!$A:$A,0)),INDEX('LP RMH'!$E:$E,MATCH(TRIM(F649),'LP RMH'!$A:$A,0))),0),IFERROR(INDEX('LP MONCAR'!$E:$E,MATCH(TRIM(F649),'LP MONCAR'!$A:$A,0)),0)))</f>
        <v/>
      </c>
    </row>
    <row r="650">
      <c r="A650" s="37" t="n"/>
      <c r="E650" s="16">
        <f>IFERROR(IF(LEFT(F650,2)="RM","RMH","MONCAR"),"")</f>
        <v/>
      </c>
      <c r="J650">
        <f>IF(TRIM(F650)="","",IF(LEFT(TRIM(F650),2)="RM",IFERROR(IF(D650&gt;=DATE(2026,4,1),INDEX('LP RMH'!$F:$F,MATCH(TRIM(F650),'LP RMH'!$A:$A,0)),INDEX('LP RMH'!$E:$E,MATCH(TRIM(F650),'LP RMH'!$A:$A,0))),0),IFERROR(INDEX('LP MONCAR'!$E:$E,MATCH(TRIM(F650),'LP MONCAR'!$A:$A,0)),0)))</f>
        <v/>
      </c>
    </row>
    <row r="651">
      <c r="A651" s="37" t="n"/>
      <c r="E651" s="16">
        <f>IFERROR(IF(LEFT(F651,2)="RM","RMH","MONCAR"),"")</f>
        <v/>
      </c>
      <c r="J651">
        <f>IF(TRIM(F651)="","",IF(LEFT(TRIM(F651),2)="RM",IFERROR(IF(D651&gt;=DATE(2026,4,1),INDEX('LP RMH'!$F:$F,MATCH(TRIM(F651),'LP RMH'!$A:$A,0)),INDEX('LP RMH'!$E:$E,MATCH(TRIM(F651),'LP RMH'!$A:$A,0))),0),IFERROR(INDEX('LP MONCAR'!$E:$E,MATCH(TRIM(F651),'LP MONCAR'!$A:$A,0)),0)))</f>
        <v/>
      </c>
    </row>
    <row r="652">
      <c r="A652" s="37" t="n"/>
      <c r="E652" s="16">
        <f>IFERROR(IF(LEFT(F652,2)="RM","RMH","MONCAR"),"")</f>
        <v/>
      </c>
      <c r="J652">
        <f>IF(TRIM(F652)="","",IF(LEFT(TRIM(F652),2)="RM",IFERROR(IF(D652&gt;=DATE(2026,4,1),INDEX('LP RMH'!$F:$F,MATCH(TRIM(F652),'LP RMH'!$A:$A,0)),INDEX('LP RMH'!$E:$E,MATCH(TRIM(F652),'LP RMH'!$A:$A,0))),0),IFERROR(INDEX('LP MONCAR'!$E:$E,MATCH(TRIM(F652),'LP MONCAR'!$A:$A,0)),0)))</f>
        <v/>
      </c>
    </row>
    <row r="653">
      <c r="A653" s="37" t="n"/>
      <c r="E653" s="16">
        <f>IFERROR(IF(LEFT(F653,2)="RM","RMH","MONCAR"),"")</f>
        <v/>
      </c>
      <c r="J653">
        <f>IF(TRIM(F653)="","",IF(LEFT(TRIM(F653),2)="RM",IFERROR(IF(D653&gt;=DATE(2026,4,1),INDEX('LP RMH'!$F:$F,MATCH(TRIM(F653),'LP RMH'!$A:$A,0)),INDEX('LP RMH'!$E:$E,MATCH(TRIM(F653),'LP RMH'!$A:$A,0))),0),IFERROR(INDEX('LP MONCAR'!$E:$E,MATCH(TRIM(F653),'LP MONCAR'!$A:$A,0)),0)))</f>
        <v/>
      </c>
    </row>
    <row r="654">
      <c r="A654" s="37" t="n"/>
      <c r="E654" s="16">
        <f>IFERROR(IF(LEFT(F654,2)="RM","RMH","MONCAR"),"")</f>
        <v/>
      </c>
      <c r="J654">
        <f>IF(TRIM(F654)="","",IF(LEFT(TRIM(F654),2)="RM",IFERROR(IF(D654&gt;=DATE(2026,4,1),INDEX('LP RMH'!$F:$F,MATCH(TRIM(F654),'LP RMH'!$A:$A,0)),INDEX('LP RMH'!$E:$E,MATCH(TRIM(F654),'LP RMH'!$A:$A,0))),0),IFERROR(INDEX('LP MONCAR'!$E:$E,MATCH(TRIM(F654),'LP MONCAR'!$A:$A,0)),0)))</f>
        <v/>
      </c>
    </row>
    <row r="655">
      <c r="A655" s="37" t="n"/>
      <c r="E655" s="16">
        <f>IFERROR(IF(LEFT(F655,2)="RM","RMH","MONCAR"),"")</f>
        <v/>
      </c>
      <c r="J655">
        <f>IF(TRIM(F655)="","",IF(LEFT(TRIM(F655),2)="RM",IFERROR(IF(D655&gt;=DATE(2026,4,1),INDEX('LP RMH'!$F:$F,MATCH(TRIM(F655),'LP RMH'!$A:$A,0)),INDEX('LP RMH'!$E:$E,MATCH(TRIM(F655),'LP RMH'!$A:$A,0))),0),IFERROR(INDEX('LP MONCAR'!$E:$E,MATCH(TRIM(F655),'LP MONCAR'!$A:$A,0)),0)))</f>
        <v/>
      </c>
    </row>
    <row r="656">
      <c r="A656" s="37" t="n"/>
      <c r="E656" s="16">
        <f>IFERROR(IF(LEFT(F656,2)="RM","RMH","MONCAR"),"")</f>
        <v/>
      </c>
      <c r="J656">
        <f>IF(TRIM(F656)="","",IF(LEFT(TRIM(F656),2)="RM",IFERROR(IF(D656&gt;=DATE(2026,4,1),INDEX('LP RMH'!$F:$F,MATCH(TRIM(F656),'LP RMH'!$A:$A,0)),INDEX('LP RMH'!$E:$E,MATCH(TRIM(F656),'LP RMH'!$A:$A,0))),0),IFERROR(INDEX('LP MONCAR'!$E:$E,MATCH(TRIM(F656),'LP MONCAR'!$A:$A,0)),0)))</f>
        <v/>
      </c>
    </row>
    <row r="657">
      <c r="A657" s="37" t="n"/>
      <c r="E657" s="16">
        <f>IFERROR(IF(LEFT(F657,2)="RM","RMH","MONCAR"),"")</f>
        <v/>
      </c>
      <c r="J657">
        <f>IF(TRIM(F657)="","",IF(LEFT(TRIM(F657),2)="RM",IFERROR(IF(D657&gt;=DATE(2026,4,1),INDEX('LP RMH'!$F:$F,MATCH(TRIM(F657),'LP RMH'!$A:$A,0)),INDEX('LP RMH'!$E:$E,MATCH(TRIM(F657),'LP RMH'!$A:$A,0))),0),IFERROR(INDEX('LP MONCAR'!$E:$E,MATCH(TRIM(F657),'LP MONCAR'!$A:$A,0)),0)))</f>
        <v/>
      </c>
    </row>
    <row r="658">
      <c r="A658" s="37" t="n"/>
      <c r="E658" s="16">
        <f>IFERROR(IF(LEFT(F658,2)="RM","RMH","MONCAR"),"")</f>
        <v/>
      </c>
      <c r="J658">
        <f>IF(TRIM(F658)="","",IF(LEFT(TRIM(F658),2)="RM",IFERROR(IF(D658&gt;=DATE(2026,4,1),INDEX('LP RMH'!$F:$F,MATCH(TRIM(F658),'LP RMH'!$A:$A,0)),INDEX('LP RMH'!$E:$E,MATCH(TRIM(F658),'LP RMH'!$A:$A,0))),0),IFERROR(INDEX('LP MONCAR'!$E:$E,MATCH(TRIM(F658),'LP MONCAR'!$A:$A,0)),0)))</f>
        <v/>
      </c>
    </row>
    <row r="659">
      <c r="A659" s="37" t="n"/>
      <c r="E659" s="16">
        <f>IFERROR(IF(LEFT(F659,2)="RM","RMH","MONCAR"),"")</f>
        <v/>
      </c>
      <c r="J659">
        <f>IF(TRIM(F659)="","",IF(LEFT(TRIM(F659),2)="RM",IFERROR(IF(D659&gt;=DATE(2026,4,1),INDEX('LP RMH'!$F:$F,MATCH(TRIM(F659),'LP RMH'!$A:$A,0)),INDEX('LP RMH'!$E:$E,MATCH(TRIM(F659),'LP RMH'!$A:$A,0))),0),IFERROR(INDEX('LP MONCAR'!$E:$E,MATCH(TRIM(F659),'LP MONCAR'!$A:$A,0)),0)))</f>
        <v/>
      </c>
    </row>
    <row r="660">
      <c r="A660" s="37" t="n"/>
      <c r="E660" s="16">
        <f>IFERROR(IF(LEFT(F660,2)="RM","RMH","MONCAR"),"")</f>
        <v/>
      </c>
      <c r="J660">
        <f>IF(TRIM(F660)="","",IF(LEFT(TRIM(F660),2)="RM",IFERROR(IF(D660&gt;=DATE(2026,4,1),INDEX('LP RMH'!$F:$F,MATCH(TRIM(F660),'LP RMH'!$A:$A,0)),INDEX('LP RMH'!$E:$E,MATCH(TRIM(F660),'LP RMH'!$A:$A,0))),0),IFERROR(INDEX('LP MONCAR'!$E:$E,MATCH(TRIM(F660),'LP MONCAR'!$A:$A,0)),0)))</f>
        <v/>
      </c>
    </row>
    <row r="661">
      <c r="A661" s="37" t="n"/>
      <c r="E661" s="16">
        <f>IFERROR(IF(LEFT(F661,2)="RM","RMH","MONCAR"),"")</f>
        <v/>
      </c>
      <c r="J661">
        <f>IF(TRIM(F661)="","",IF(LEFT(TRIM(F661),2)="RM",IFERROR(IF(D661&gt;=DATE(2026,4,1),INDEX('LP RMH'!$F:$F,MATCH(TRIM(F661),'LP RMH'!$A:$A,0)),INDEX('LP RMH'!$E:$E,MATCH(TRIM(F661),'LP RMH'!$A:$A,0))),0),IFERROR(INDEX('LP MONCAR'!$E:$E,MATCH(TRIM(F661),'LP MONCAR'!$A:$A,0)),0)))</f>
        <v/>
      </c>
    </row>
    <row r="662">
      <c r="A662" s="37" t="n"/>
      <c r="E662" s="16">
        <f>IFERROR(IF(LEFT(F662,2)="RM","RMH","MONCAR"),"")</f>
        <v/>
      </c>
      <c r="J662">
        <f>IF(TRIM(F662)="","",IF(LEFT(TRIM(F662),2)="RM",IFERROR(IF(D662&gt;=DATE(2026,4,1),INDEX('LP RMH'!$F:$F,MATCH(TRIM(F662),'LP RMH'!$A:$A,0)),INDEX('LP RMH'!$E:$E,MATCH(TRIM(F662),'LP RMH'!$A:$A,0))),0),IFERROR(INDEX('LP MONCAR'!$E:$E,MATCH(TRIM(F662),'LP MONCAR'!$A:$A,0)),0)))</f>
        <v/>
      </c>
    </row>
    <row r="663">
      <c r="A663" s="37" t="n"/>
      <c r="E663" s="16">
        <f>IFERROR(IF(LEFT(F663,2)="RM","RMH","MONCAR"),"")</f>
        <v/>
      </c>
      <c r="J663">
        <f>IF(TRIM(F663)="","",IF(LEFT(TRIM(F663),2)="RM",IFERROR(IF(D663&gt;=DATE(2026,4,1),INDEX('LP RMH'!$F:$F,MATCH(TRIM(F663),'LP RMH'!$A:$A,0)),INDEX('LP RMH'!$E:$E,MATCH(TRIM(F663),'LP RMH'!$A:$A,0))),0),IFERROR(INDEX('LP MONCAR'!$E:$E,MATCH(TRIM(F663),'LP MONCAR'!$A:$A,0)),0)))</f>
        <v/>
      </c>
    </row>
    <row r="664">
      <c r="A664" s="37" t="n"/>
      <c r="E664" s="16">
        <f>IFERROR(IF(LEFT(F664,2)="RM","RMH","MONCAR"),"")</f>
        <v/>
      </c>
      <c r="J664">
        <f>IF(TRIM(F664)="","",IF(LEFT(TRIM(F664),2)="RM",IFERROR(IF(D664&gt;=DATE(2026,4,1),INDEX('LP RMH'!$F:$F,MATCH(TRIM(F664),'LP RMH'!$A:$A,0)),INDEX('LP RMH'!$E:$E,MATCH(TRIM(F664),'LP RMH'!$A:$A,0))),0),IFERROR(INDEX('LP MONCAR'!$E:$E,MATCH(TRIM(F664),'LP MONCAR'!$A:$A,0)),0)))</f>
        <v/>
      </c>
    </row>
    <row r="665">
      <c r="A665" s="37" t="n"/>
      <c r="E665" s="16">
        <f>IFERROR(IF(LEFT(F665,2)="RM","RMH","MONCAR"),"")</f>
        <v/>
      </c>
      <c r="J665">
        <f>IF(TRIM(F665)="","",IF(LEFT(TRIM(F665),2)="RM",IFERROR(IF(D665&gt;=DATE(2026,4,1),INDEX('LP RMH'!$F:$F,MATCH(TRIM(F665),'LP RMH'!$A:$A,0)),INDEX('LP RMH'!$E:$E,MATCH(TRIM(F665),'LP RMH'!$A:$A,0))),0),IFERROR(INDEX('LP MONCAR'!$E:$E,MATCH(TRIM(F665),'LP MONCAR'!$A:$A,0)),0)))</f>
        <v/>
      </c>
    </row>
    <row r="666">
      <c r="A666" s="37" t="n"/>
      <c r="E666" s="16">
        <f>IFERROR(IF(LEFT(F666,2)="RM","RMH","MONCAR"),"")</f>
        <v/>
      </c>
      <c r="J666">
        <f>IF(TRIM(F666)="","",IF(LEFT(TRIM(F666),2)="RM",IFERROR(IF(D666&gt;=DATE(2026,4,1),INDEX('LP RMH'!$F:$F,MATCH(TRIM(F666),'LP RMH'!$A:$A,0)),INDEX('LP RMH'!$E:$E,MATCH(TRIM(F666),'LP RMH'!$A:$A,0))),0),IFERROR(INDEX('LP MONCAR'!$E:$E,MATCH(TRIM(F666),'LP MONCAR'!$A:$A,0)),0)))</f>
        <v/>
      </c>
    </row>
    <row r="667">
      <c r="A667" s="37" t="n"/>
      <c r="E667" s="16">
        <f>IFERROR(IF(LEFT(F667,2)="RM","RMH","MONCAR"),"")</f>
        <v/>
      </c>
      <c r="J667">
        <f>IF(TRIM(F667)="","",IF(LEFT(TRIM(F667),2)="RM",IFERROR(IF(D667&gt;=DATE(2026,4,1),INDEX('LP RMH'!$F:$F,MATCH(TRIM(F667),'LP RMH'!$A:$A,0)),INDEX('LP RMH'!$E:$E,MATCH(TRIM(F667),'LP RMH'!$A:$A,0))),0),IFERROR(INDEX('LP MONCAR'!$E:$E,MATCH(TRIM(F667),'LP MONCAR'!$A:$A,0)),0)))</f>
        <v/>
      </c>
    </row>
    <row r="668">
      <c r="A668" s="37" t="n"/>
      <c r="E668" s="16">
        <f>IFERROR(IF(LEFT(F668,2)="RM","RMH","MONCAR"),"")</f>
        <v/>
      </c>
      <c r="J668">
        <f>IF(TRIM(F668)="","",IF(LEFT(TRIM(F668),2)="RM",IFERROR(IF(D668&gt;=DATE(2026,4,1),INDEX('LP RMH'!$F:$F,MATCH(TRIM(F668),'LP RMH'!$A:$A,0)),INDEX('LP RMH'!$E:$E,MATCH(TRIM(F668),'LP RMH'!$A:$A,0))),0),IFERROR(INDEX('LP MONCAR'!$E:$E,MATCH(TRIM(F668),'LP MONCAR'!$A:$A,0)),0)))</f>
        <v/>
      </c>
    </row>
    <row r="669">
      <c r="A669" s="37" t="n"/>
      <c r="E669" s="16">
        <f>IFERROR(IF(LEFT(F669,2)="RM","RMH","MONCAR"),"")</f>
        <v/>
      </c>
      <c r="J669">
        <f>IF(TRIM(F669)="","",IF(LEFT(TRIM(F669),2)="RM",IFERROR(IF(D669&gt;=DATE(2026,4,1),INDEX('LP RMH'!$F:$F,MATCH(TRIM(F669),'LP RMH'!$A:$A,0)),INDEX('LP RMH'!$E:$E,MATCH(TRIM(F669),'LP RMH'!$A:$A,0))),0),IFERROR(INDEX('LP MONCAR'!$E:$E,MATCH(TRIM(F669),'LP MONCAR'!$A:$A,0)),0)))</f>
        <v/>
      </c>
    </row>
    <row r="670">
      <c r="A670" s="37" t="n"/>
      <c r="E670" s="16">
        <f>IFERROR(IF(LEFT(F670,2)="RM","RMH","MONCAR"),"")</f>
        <v/>
      </c>
      <c r="J670">
        <f>IF(TRIM(F670)="","",IF(LEFT(TRIM(F670),2)="RM",IFERROR(IF(D670&gt;=DATE(2026,4,1),INDEX('LP RMH'!$F:$F,MATCH(TRIM(F670),'LP RMH'!$A:$A,0)),INDEX('LP RMH'!$E:$E,MATCH(TRIM(F670),'LP RMH'!$A:$A,0))),0),IFERROR(INDEX('LP MONCAR'!$E:$E,MATCH(TRIM(F670),'LP MONCAR'!$A:$A,0)),0)))</f>
        <v/>
      </c>
    </row>
    <row r="671">
      <c r="A671" s="37" t="n"/>
      <c r="E671" s="16">
        <f>IFERROR(IF(LEFT(F671,2)="RM","RMH","MONCAR"),"")</f>
        <v/>
      </c>
      <c r="J671">
        <f>IF(TRIM(F671)="","",IF(LEFT(TRIM(F671),2)="RM",IFERROR(IF(D671&gt;=DATE(2026,4,1),INDEX('LP RMH'!$F:$F,MATCH(TRIM(F671),'LP RMH'!$A:$A,0)),INDEX('LP RMH'!$E:$E,MATCH(TRIM(F671),'LP RMH'!$A:$A,0))),0),IFERROR(INDEX('LP MONCAR'!$E:$E,MATCH(TRIM(F671),'LP MONCAR'!$A:$A,0)),0)))</f>
        <v/>
      </c>
    </row>
    <row r="672">
      <c r="A672" s="37" t="n"/>
      <c r="E672" s="16">
        <f>IFERROR(IF(LEFT(F672,2)="RM","RMH","MONCAR"),"")</f>
        <v/>
      </c>
      <c r="J672">
        <f>IF(TRIM(F672)="","",IF(LEFT(TRIM(F672),2)="RM",IFERROR(IF(D672&gt;=DATE(2026,4,1),INDEX('LP RMH'!$F:$F,MATCH(TRIM(F672),'LP RMH'!$A:$A,0)),INDEX('LP RMH'!$E:$E,MATCH(TRIM(F672),'LP RMH'!$A:$A,0))),0),IFERROR(INDEX('LP MONCAR'!$E:$E,MATCH(TRIM(F672),'LP MONCAR'!$A:$A,0)),0)))</f>
        <v/>
      </c>
    </row>
    <row r="673">
      <c r="A673" s="37" t="n"/>
      <c r="E673" s="16">
        <f>IFERROR(IF(LEFT(F673,2)="RM","RMH","MONCAR"),"")</f>
        <v/>
      </c>
      <c r="J673">
        <f>IF(TRIM(F673)="","",IF(LEFT(TRIM(F673),2)="RM",IFERROR(IF(D673&gt;=DATE(2026,4,1),INDEX('LP RMH'!$F:$F,MATCH(TRIM(F673),'LP RMH'!$A:$A,0)),INDEX('LP RMH'!$E:$E,MATCH(TRIM(F673),'LP RMH'!$A:$A,0))),0),IFERROR(INDEX('LP MONCAR'!$E:$E,MATCH(TRIM(F673),'LP MONCAR'!$A:$A,0)),0)))</f>
        <v/>
      </c>
    </row>
    <row r="674">
      <c r="A674" s="37" t="n"/>
      <c r="E674" s="16">
        <f>IFERROR(IF(LEFT(F674,2)="RM","RMH","MONCAR"),"")</f>
        <v/>
      </c>
      <c r="J674">
        <f>IF(TRIM(F674)="","",IF(LEFT(TRIM(F674),2)="RM",IFERROR(IF(D674&gt;=DATE(2026,4,1),INDEX('LP RMH'!$F:$F,MATCH(TRIM(F674),'LP RMH'!$A:$A,0)),INDEX('LP RMH'!$E:$E,MATCH(TRIM(F674),'LP RMH'!$A:$A,0))),0),IFERROR(INDEX('LP MONCAR'!$E:$E,MATCH(TRIM(F674),'LP MONCAR'!$A:$A,0)),0)))</f>
        <v/>
      </c>
    </row>
    <row r="675">
      <c r="A675" s="37" t="n"/>
      <c r="E675" s="16">
        <f>IFERROR(IF(LEFT(F675,2)="RM","RMH","MONCAR"),"")</f>
        <v/>
      </c>
      <c r="J675">
        <f>IF(TRIM(F675)="","",IF(LEFT(TRIM(F675),2)="RM",IFERROR(IF(D675&gt;=DATE(2026,4,1),INDEX('LP RMH'!$F:$F,MATCH(TRIM(F675),'LP RMH'!$A:$A,0)),INDEX('LP RMH'!$E:$E,MATCH(TRIM(F675),'LP RMH'!$A:$A,0))),0),IFERROR(INDEX('LP MONCAR'!$E:$E,MATCH(TRIM(F675),'LP MONCAR'!$A:$A,0)),0)))</f>
        <v/>
      </c>
    </row>
    <row r="676">
      <c r="A676" s="37" t="n"/>
      <c r="E676" s="16">
        <f>IFERROR(IF(LEFT(F676,2)="RM","RMH","MONCAR"),"")</f>
        <v/>
      </c>
      <c r="J676">
        <f>IF(TRIM(F676)="","",IF(LEFT(TRIM(F676),2)="RM",IFERROR(IF(D676&gt;=DATE(2026,4,1),INDEX('LP RMH'!$F:$F,MATCH(TRIM(F676),'LP RMH'!$A:$A,0)),INDEX('LP RMH'!$E:$E,MATCH(TRIM(F676),'LP RMH'!$A:$A,0))),0),IFERROR(INDEX('LP MONCAR'!$E:$E,MATCH(TRIM(F676),'LP MONCAR'!$A:$A,0)),0)))</f>
        <v/>
      </c>
    </row>
    <row r="677">
      <c r="A677" s="37" t="n"/>
      <c r="E677" s="16">
        <f>IFERROR(IF(LEFT(F677,2)="RM","RMH","MONCAR"),"")</f>
        <v/>
      </c>
      <c r="J677">
        <f>IF(TRIM(F677)="","",IF(LEFT(TRIM(F677),2)="RM",IFERROR(IF(D677&gt;=DATE(2026,4,1),INDEX('LP RMH'!$F:$F,MATCH(TRIM(F677),'LP RMH'!$A:$A,0)),INDEX('LP RMH'!$E:$E,MATCH(TRIM(F677),'LP RMH'!$A:$A,0))),0),IFERROR(INDEX('LP MONCAR'!$E:$E,MATCH(TRIM(F677),'LP MONCAR'!$A:$A,0)),0)))</f>
        <v/>
      </c>
    </row>
    <row r="678">
      <c r="A678" s="37" t="n"/>
      <c r="E678" s="16">
        <f>IFERROR(IF(LEFT(F678,2)="RM","RMH","MONCAR"),"")</f>
        <v/>
      </c>
      <c r="J678">
        <f>IF(TRIM(F678)="","",IF(LEFT(TRIM(F678),2)="RM",IFERROR(IF(D678&gt;=DATE(2026,4,1),INDEX('LP RMH'!$F:$F,MATCH(TRIM(F678),'LP RMH'!$A:$A,0)),INDEX('LP RMH'!$E:$E,MATCH(TRIM(F678),'LP RMH'!$A:$A,0))),0),IFERROR(INDEX('LP MONCAR'!$E:$E,MATCH(TRIM(F678),'LP MONCAR'!$A:$A,0)),0)))</f>
        <v/>
      </c>
    </row>
    <row r="679">
      <c r="A679" s="37" t="n"/>
      <c r="E679" s="16">
        <f>IFERROR(IF(LEFT(F679,2)="RM","RMH","MONCAR"),"")</f>
        <v/>
      </c>
      <c r="J679">
        <f>IF(TRIM(F679)="","",IF(LEFT(TRIM(F679),2)="RM",IFERROR(IF(D679&gt;=DATE(2026,4,1),INDEX('LP RMH'!$F:$F,MATCH(TRIM(F679),'LP RMH'!$A:$A,0)),INDEX('LP RMH'!$E:$E,MATCH(TRIM(F679),'LP RMH'!$A:$A,0))),0),IFERROR(INDEX('LP MONCAR'!$E:$E,MATCH(TRIM(F679),'LP MONCAR'!$A:$A,0)),0)))</f>
        <v/>
      </c>
    </row>
    <row r="680">
      <c r="A680" s="37" t="n"/>
      <c r="E680" s="16">
        <f>IFERROR(IF(LEFT(F680,2)="RM","RMH","MONCAR"),"")</f>
        <v/>
      </c>
      <c r="J680">
        <f>IF(TRIM(F680)="","",IF(LEFT(TRIM(F680),2)="RM",IFERROR(IF(D680&gt;=DATE(2026,4,1),INDEX('LP RMH'!$F:$F,MATCH(TRIM(F680),'LP RMH'!$A:$A,0)),INDEX('LP RMH'!$E:$E,MATCH(TRIM(F680),'LP RMH'!$A:$A,0))),0),IFERROR(INDEX('LP MONCAR'!$E:$E,MATCH(TRIM(F680),'LP MONCAR'!$A:$A,0)),0)))</f>
        <v/>
      </c>
    </row>
    <row r="681">
      <c r="A681" s="37" t="n"/>
      <c r="E681" s="16">
        <f>IFERROR(IF(LEFT(F681,2)="RM","RMH","MONCAR"),"")</f>
        <v/>
      </c>
      <c r="J681">
        <f>IF(TRIM(F681)="","",IF(LEFT(TRIM(F681),2)="RM",IFERROR(IF(D681&gt;=DATE(2026,4,1),INDEX('LP RMH'!$F:$F,MATCH(TRIM(F681),'LP RMH'!$A:$A,0)),INDEX('LP RMH'!$E:$E,MATCH(TRIM(F681),'LP RMH'!$A:$A,0))),0),IFERROR(INDEX('LP MONCAR'!$E:$E,MATCH(TRIM(F681),'LP MONCAR'!$A:$A,0)),0)))</f>
        <v/>
      </c>
    </row>
    <row r="682">
      <c r="A682" s="37" t="n"/>
      <c r="E682" s="16">
        <f>IFERROR(IF(LEFT(F682,2)="RM","RMH","MONCAR"),"")</f>
        <v/>
      </c>
      <c r="J682">
        <f>IF(TRIM(F682)="","",IF(LEFT(TRIM(F682),2)="RM",IFERROR(IF(D682&gt;=DATE(2026,4,1),INDEX('LP RMH'!$F:$F,MATCH(TRIM(F682),'LP RMH'!$A:$A,0)),INDEX('LP RMH'!$E:$E,MATCH(TRIM(F682),'LP RMH'!$A:$A,0))),0),IFERROR(INDEX('LP MONCAR'!$E:$E,MATCH(TRIM(F682),'LP MONCAR'!$A:$A,0)),0)))</f>
        <v/>
      </c>
    </row>
    <row r="683">
      <c r="A683" s="37" t="n"/>
      <c r="E683" s="16">
        <f>IFERROR(IF(LEFT(F683,2)="RM","RMH","MONCAR"),"")</f>
        <v/>
      </c>
      <c r="J683">
        <f>IF(TRIM(F683)="","",IF(LEFT(TRIM(F683),2)="RM",IFERROR(IF(D683&gt;=DATE(2026,4,1),INDEX('LP RMH'!$F:$F,MATCH(TRIM(F683),'LP RMH'!$A:$A,0)),INDEX('LP RMH'!$E:$E,MATCH(TRIM(F683),'LP RMH'!$A:$A,0))),0),IFERROR(INDEX('LP MONCAR'!$E:$E,MATCH(TRIM(F683),'LP MONCAR'!$A:$A,0)),0)))</f>
        <v/>
      </c>
    </row>
    <row r="684">
      <c r="A684" s="37" t="n"/>
      <c r="E684" s="16">
        <f>IFERROR(IF(LEFT(F684,2)="RM","RMH","MONCAR"),"")</f>
        <v/>
      </c>
      <c r="J684">
        <f>IF(TRIM(F684)="","",IF(LEFT(TRIM(F684),2)="RM",IFERROR(IF(D684&gt;=DATE(2026,4,1),INDEX('LP RMH'!$F:$F,MATCH(TRIM(F684),'LP RMH'!$A:$A,0)),INDEX('LP RMH'!$E:$E,MATCH(TRIM(F684),'LP RMH'!$A:$A,0))),0),IFERROR(INDEX('LP MONCAR'!$E:$E,MATCH(TRIM(F684),'LP MONCAR'!$A:$A,0)),0)))</f>
        <v/>
      </c>
    </row>
    <row r="685">
      <c r="A685" s="37" t="n"/>
      <c r="E685" s="16">
        <f>IFERROR(IF(LEFT(F685,2)="RM","RMH","MONCAR"),"")</f>
        <v/>
      </c>
      <c r="J685">
        <f>IF(TRIM(F685)="","",IF(LEFT(TRIM(F685),2)="RM",IFERROR(IF(D685&gt;=DATE(2026,4,1),INDEX('LP RMH'!$F:$F,MATCH(TRIM(F685),'LP RMH'!$A:$A,0)),INDEX('LP RMH'!$E:$E,MATCH(TRIM(F685),'LP RMH'!$A:$A,0))),0),IFERROR(INDEX('LP MONCAR'!$E:$E,MATCH(TRIM(F685),'LP MONCAR'!$A:$A,0)),0)))</f>
        <v/>
      </c>
    </row>
    <row r="686">
      <c r="A686" s="37" t="n"/>
      <c r="E686" s="16">
        <f>IFERROR(IF(LEFT(F686,2)="RM","RMH","MONCAR"),"")</f>
        <v/>
      </c>
      <c r="J686">
        <f>IF(TRIM(F686)="","",IF(LEFT(TRIM(F686),2)="RM",IFERROR(IF(D686&gt;=DATE(2026,4,1),INDEX('LP RMH'!$F:$F,MATCH(TRIM(F686),'LP RMH'!$A:$A,0)),INDEX('LP RMH'!$E:$E,MATCH(TRIM(F686),'LP RMH'!$A:$A,0))),0),IFERROR(INDEX('LP MONCAR'!$E:$E,MATCH(TRIM(F686),'LP MONCAR'!$A:$A,0)),0)))</f>
        <v/>
      </c>
    </row>
    <row r="687">
      <c r="A687" s="37" t="n"/>
      <c r="E687" s="16">
        <f>IFERROR(IF(LEFT(F687,2)="RM","RMH","MONCAR"),"")</f>
        <v/>
      </c>
      <c r="J687">
        <f>IF(TRIM(F687)="","",IF(LEFT(TRIM(F687),2)="RM",IFERROR(IF(D687&gt;=DATE(2026,4,1),INDEX('LP RMH'!$F:$F,MATCH(TRIM(F687),'LP RMH'!$A:$A,0)),INDEX('LP RMH'!$E:$E,MATCH(TRIM(F687),'LP RMH'!$A:$A,0))),0),IFERROR(INDEX('LP MONCAR'!$E:$E,MATCH(TRIM(F687),'LP MONCAR'!$A:$A,0)),0)))</f>
        <v/>
      </c>
    </row>
    <row r="688">
      <c r="A688" s="37" t="n"/>
      <c r="E688" s="16">
        <f>IFERROR(IF(LEFT(F688,2)="RM","RMH","MONCAR"),"")</f>
        <v/>
      </c>
      <c r="J688">
        <f>IF(TRIM(F688)="","",IF(LEFT(TRIM(F688),2)="RM",IFERROR(IF(D688&gt;=DATE(2026,4,1),INDEX('LP RMH'!$F:$F,MATCH(TRIM(F688),'LP RMH'!$A:$A,0)),INDEX('LP RMH'!$E:$E,MATCH(TRIM(F688),'LP RMH'!$A:$A,0))),0),IFERROR(INDEX('LP MONCAR'!$E:$E,MATCH(TRIM(F688),'LP MONCAR'!$A:$A,0)),0)))</f>
        <v/>
      </c>
    </row>
    <row r="689">
      <c r="A689" s="37" t="n"/>
      <c r="E689" s="16">
        <f>IFERROR(IF(LEFT(F689,2)="RM","RMH","MONCAR"),"")</f>
        <v/>
      </c>
      <c r="J689">
        <f>IF(TRIM(F689)="","",IF(LEFT(TRIM(F689),2)="RM",IFERROR(IF(D689&gt;=DATE(2026,4,1),INDEX('LP RMH'!$F:$F,MATCH(TRIM(F689),'LP RMH'!$A:$A,0)),INDEX('LP RMH'!$E:$E,MATCH(TRIM(F689),'LP RMH'!$A:$A,0))),0),IFERROR(INDEX('LP MONCAR'!$E:$E,MATCH(TRIM(F689),'LP MONCAR'!$A:$A,0)),0)))</f>
        <v/>
      </c>
    </row>
    <row r="690">
      <c r="A690" s="37" t="n"/>
      <c r="E690" s="16">
        <f>IFERROR(IF(LEFT(F690,2)="RM","RMH","MONCAR"),"")</f>
        <v/>
      </c>
      <c r="J690">
        <f>IF(TRIM(F690)="","",IF(LEFT(TRIM(F690),2)="RM",IFERROR(IF(D690&gt;=DATE(2026,4,1),INDEX('LP RMH'!$F:$F,MATCH(TRIM(F690),'LP RMH'!$A:$A,0)),INDEX('LP RMH'!$E:$E,MATCH(TRIM(F690),'LP RMH'!$A:$A,0))),0),IFERROR(INDEX('LP MONCAR'!$E:$E,MATCH(TRIM(F690),'LP MONCAR'!$A:$A,0)),0)))</f>
        <v/>
      </c>
    </row>
    <row r="691">
      <c r="A691" s="37" t="n"/>
      <c r="E691" s="16">
        <f>IFERROR(IF(LEFT(F691,2)="RM","RMH","MONCAR"),"")</f>
        <v/>
      </c>
      <c r="J691">
        <f>IF(TRIM(F691)="","",IF(LEFT(TRIM(F691),2)="RM",IFERROR(IF(D691&gt;=DATE(2026,4,1),INDEX('LP RMH'!$F:$F,MATCH(TRIM(F691),'LP RMH'!$A:$A,0)),INDEX('LP RMH'!$E:$E,MATCH(TRIM(F691),'LP RMH'!$A:$A,0))),0),IFERROR(INDEX('LP MONCAR'!$E:$E,MATCH(TRIM(F691),'LP MONCAR'!$A:$A,0)),0)))</f>
        <v/>
      </c>
    </row>
    <row r="692">
      <c r="A692" s="37" t="n"/>
      <c r="E692" s="16">
        <f>IFERROR(IF(LEFT(F692,2)="RM","RMH","MONCAR"),"")</f>
        <v/>
      </c>
      <c r="J692">
        <f>IF(TRIM(F692)="","",IF(LEFT(TRIM(F692),2)="RM",IFERROR(IF(D692&gt;=DATE(2026,4,1),INDEX('LP RMH'!$F:$F,MATCH(TRIM(F692),'LP RMH'!$A:$A,0)),INDEX('LP RMH'!$E:$E,MATCH(TRIM(F692),'LP RMH'!$A:$A,0))),0),IFERROR(INDEX('LP MONCAR'!$E:$E,MATCH(TRIM(F692),'LP MONCAR'!$A:$A,0)),0)))</f>
        <v/>
      </c>
    </row>
    <row r="693">
      <c r="A693" s="37" t="n"/>
      <c r="E693" s="16">
        <f>IFERROR(IF(LEFT(F693,2)="RM","RMH","MONCAR"),"")</f>
        <v/>
      </c>
      <c r="J693">
        <f>IF(TRIM(F693)="","",IF(LEFT(TRIM(F693),2)="RM",IFERROR(IF(D693&gt;=DATE(2026,4,1),INDEX('LP RMH'!$F:$F,MATCH(TRIM(F693),'LP RMH'!$A:$A,0)),INDEX('LP RMH'!$E:$E,MATCH(TRIM(F693),'LP RMH'!$A:$A,0))),0),IFERROR(INDEX('LP MONCAR'!$E:$E,MATCH(TRIM(F693),'LP MONCAR'!$A:$A,0)),0)))</f>
        <v/>
      </c>
    </row>
    <row r="694">
      <c r="A694" s="37" t="n"/>
      <c r="E694" s="16">
        <f>IFERROR(IF(LEFT(F694,2)="RM","RMH","MONCAR"),"")</f>
        <v/>
      </c>
      <c r="J694">
        <f>IF(TRIM(F694)="","",IF(LEFT(TRIM(F694),2)="RM",IFERROR(IF(D694&gt;=DATE(2026,4,1),INDEX('LP RMH'!$F:$F,MATCH(TRIM(F694),'LP RMH'!$A:$A,0)),INDEX('LP RMH'!$E:$E,MATCH(TRIM(F694),'LP RMH'!$A:$A,0))),0),IFERROR(INDEX('LP MONCAR'!$E:$E,MATCH(TRIM(F694),'LP MONCAR'!$A:$A,0)),0)))</f>
        <v/>
      </c>
    </row>
    <row r="695">
      <c r="A695" s="37" t="n"/>
      <c r="E695" s="16">
        <f>IFERROR(IF(LEFT(F695,2)="RM","RMH","MONCAR"),"")</f>
        <v/>
      </c>
      <c r="J695">
        <f>IF(TRIM(F695)="","",IF(LEFT(TRIM(F695),2)="RM",IFERROR(IF(D695&gt;=DATE(2026,4,1),INDEX('LP RMH'!$F:$F,MATCH(TRIM(F695),'LP RMH'!$A:$A,0)),INDEX('LP RMH'!$E:$E,MATCH(TRIM(F695),'LP RMH'!$A:$A,0))),0),IFERROR(INDEX('LP MONCAR'!$E:$E,MATCH(TRIM(F695),'LP MONCAR'!$A:$A,0)),0)))</f>
        <v/>
      </c>
    </row>
    <row r="696">
      <c r="A696" s="37" t="n"/>
      <c r="E696" s="16">
        <f>IFERROR(IF(LEFT(F696,2)="RM","RMH","MONCAR"),"")</f>
        <v/>
      </c>
      <c r="J696">
        <f>IF(TRIM(F696)="","",IF(LEFT(TRIM(F696),2)="RM",IFERROR(IF(D696&gt;=DATE(2026,4,1),INDEX('LP RMH'!$F:$F,MATCH(TRIM(F696),'LP RMH'!$A:$A,0)),INDEX('LP RMH'!$E:$E,MATCH(TRIM(F696),'LP RMH'!$A:$A,0))),0),IFERROR(INDEX('LP MONCAR'!$E:$E,MATCH(TRIM(F696),'LP MONCAR'!$A:$A,0)),0)))</f>
        <v/>
      </c>
    </row>
    <row r="697">
      <c r="A697" s="37" t="n"/>
      <c r="E697" s="16">
        <f>IFERROR(IF(LEFT(F697,2)="RM","RMH","MONCAR"),"")</f>
        <v/>
      </c>
      <c r="J697">
        <f>IF(TRIM(F697)="","",IF(LEFT(TRIM(F697),2)="RM",IFERROR(IF(D697&gt;=DATE(2026,4,1),INDEX('LP RMH'!$F:$F,MATCH(TRIM(F697),'LP RMH'!$A:$A,0)),INDEX('LP RMH'!$E:$E,MATCH(TRIM(F697),'LP RMH'!$A:$A,0))),0),IFERROR(INDEX('LP MONCAR'!$E:$E,MATCH(TRIM(F697),'LP MONCAR'!$A:$A,0)),0)))</f>
        <v/>
      </c>
    </row>
    <row r="698">
      <c r="A698" s="37" t="n"/>
      <c r="E698" s="16">
        <f>IFERROR(IF(LEFT(F698,2)="RM","RMH","MONCAR"),"")</f>
        <v/>
      </c>
      <c r="J698">
        <f>IF(TRIM(F698)="","",IF(LEFT(TRIM(F698),2)="RM",IFERROR(IF(D698&gt;=DATE(2026,4,1),INDEX('LP RMH'!$F:$F,MATCH(TRIM(F698),'LP RMH'!$A:$A,0)),INDEX('LP RMH'!$E:$E,MATCH(TRIM(F698),'LP RMH'!$A:$A,0))),0),IFERROR(INDEX('LP MONCAR'!$E:$E,MATCH(TRIM(F698),'LP MONCAR'!$A:$A,0)),0)))</f>
        <v/>
      </c>
    </row>
    <row r="699">
      <c r="A699" s="37" t="n"/>
      <c r="E699" s="16">
        <f>IFERROR(IF(LEFT(F699,2)="RM","RMH","MONCAR"),"")</f>
        <v/>
      </c>
      <c r="J699">
        <f>IF(TRIM(F699)="","",IF(LEFT(TRIM(F699),2)="RM",IFERROR(IF(D699&gt;=DATE(2026,4,1),INDEX('LP RMH'!$F:$F,MATCH(TRIM(F699),'LP RMH'!$A:$A,0)),INDEX('LP RMH'!$E:$E,MATCH(TRIM(F699),'LP RMH'!$A:$A,0))),0),IFERROR(INDEX('LP MONCAR'!$E:$E,MATCH(TRIM(F699),'LP MONCAR'!$A:$A,0)),0)))</f>
        <v/>
      </c>
    </row>
    <row r="700">
      <c r="A700" s="37" t="n"/>
      <c r="E700" s="16">
        <f>IFERROR(IF(LEFT(F700,2)="RM","RMH","MONCAR"),"")</f>
        <v/>
      </c>
      <c r="J700">
        <f>IF(TRIM(F700)="","",IF(LEFT(TRIM(F700),2)="RM",IFERROR(IF(D700&gt;=DATE(2026,4,1),INDEX('LP RMH'!$F:$F,MATCH(TRIM(F700),'LP RMH'!$A:$A,0)),INDEX('LP RMH'!$E:$E,MATCH(TRIM(F700),'LP RMH'!$A:$A,0))),0),IFERROR(INDEX('LP MONCAR'!$E:$E,MATCH(TRIM(F700),'LP MONCAR'!$A:$A,0)),0)))</f>
        <v/>
      </c>
    </row>
    <row r="701">
      <c r="A701" s="37" t="n"/>
      <c r="E701" s="16">
        <f>IFERROR(IF(LEFT(F701,2)="RM","RMH","MONCAR"),"")</f>
        <v/>
      </c>
      <c r="J701">
        <f>IF(TRIM(F701)="","",IF(LEFT(TRIM(F701),2)="RM",IFERROR(IF(D701&gt;=DATE(2026,4,1),INDEX('LP RMH'!$F:$F,MATCH(TRIM(F701),'LP RMH'!$A:$A,0)),INDEX('LP RMH'!$E:$E,MATCH(TRIM(F701),'LP RMH'!$A:$A,0))),0),IFERROR(INDEX('LP MONCAR'!$E:$E,MATCH(TRIM(F701),'LP MONCAR'!$A:$A,0)),0)))</f>
        <v/>
      </c>
    </row>
    <row r="702">
      <c r="A702" s="37" t="n"/>
      <c r="E702" s="16">
        <f>IFERROR(IF(LEFT(F702,2)="RM","RMH","MONCAR"),"")</f>
        <v/>
      </c>
      <c r="J702">
        <f>IF(TRIM(F702)="","",IF(LEFT(TRIM(F702),2)="RM",IFERROR(IF(D702&gt;=DATE(2026,4,1),INDEX('LP RMH'!$F:$F,MATCH(TRIM(F702),'LP RMH'!$A:$A,0)),INDEX('LP RMH'!$E:$E,MATCH(TRIM(F702),'LP RMH'!$A:$A,0))),0),IFERROR(INDEX('LP MONCAR'!$E:$E,MATCH(TRIM(F702),'LP MONCAR'!$A:$A,0)),0)))</f>
        <v/>
      </c>
    </row>
    <row r="703">
      <c r="A703" s="37" t="n"/>
      <c r="E703" s="16">
        <f>IFERROR(IF(LEFT(F703,2)="RM","RMH","MONCAR"),"")</f>
        <v/>
      </c>
      <c r="J703">
        <f>IF(TRIM(F703)="","",IF(LEFT(TRIM(F703),2)="RM",IFERROR(IF(D703&gt;=DATE(2026,4,1),INDEX('LP RMH'!$F:$F,MATCH(TRIM(F703),'LP RMH'!$A:$A,0)),INDEX('LP RMH'!$E:$E,MATCH(TRIM(F703),'LP RMH'!$A:$A,0))),0),IFERROR(INDEX('LP MONCAR'!$E:$E,MATCH(TRIM(F703),'LP MONCAR'!$A:$A,0)),0)))</f>
        <v/>
      </c>
    </row>
    <row r="704">
      <c r="A704" s="37" t="n"/>
      <c r="E704" s="16">
        <f>IFERROR(IF(LEFT(F704,2)="RM","RMH","MONCAR"),"")</f>
        <v/>
      </c>
      <c r="J704">
        <f>IF(TRIM(F704)="","",IF(LEFT(TRIM(F704),2)="RM",IFERROR(IF(D704&gt;=DATE(2026,4,1),INDEX('LP RMH'!$F:$F,MATCH(TRIM(F704),'LP RMH'!$A:$A,0)),INDEX('LP RMH'!$E:$E,MATCH(TRIM(F704),'LP RMH'!$A:$A,0))),0),IFERROR(INDEX('LP MONCAR'!$E:$E,MATCH(TRIM(F704),'LP MONCAR'!$A:$A,0)),0)))</f>
        <v/>
      </c>
    </row>
    <row r="705">
      <c r="A705" s="37" t="n"/>
      <c r="E705" s="16">
        <f>IFERROR(IF(LEFT(F705,2)="RM","RMH","MONCAR"),"")</f>
        <v/>
      </c>
      <c r="J705">
        <f>IF(TRIM(F705)="","",IF(LEFT(TRIM(F705),2)="RM",IFERROR(IF(D705&gt;=DATE(2026,4,1),INDEX('LP RMH'!$F:$F,MATCH(TRIM(F705),'LP RMH'!$A:$A,0)),INDEX('LP RMH'!$E:$E,MATCH(TRIM(F705),'LP RMH'!$A:$A,0))),0),IFERROR(INDEX('LP MONCAR'!$E:$E,MATCH(TRIM(F705),'LP MONCAR'!$A:$A,0)),0)))</f>
        <v/>
      </c>
    </row>
    <row r="706">
      <c r="A706" s="37" t="n"/>
      <c r="E706" s="16">
        <f>IFERROR(IF(LEFT(F706,2)="RM","RMH","MONCAR"),"")</f>
        <v/>
      </c>
      <c r="J706">
        <f>IF(TRIM(F706)="","",IF(LEFT(TRIM(F706),2)="RM",IFERROR(IF(D706&gt;=DATE(2026,4,1),INDEX('LP RMH'!$F:$F,MATCH(TRIM(F706),'LP RMH'!$A:$A,0)),INDEX('LP RMH'!$E:$E,MATCH(TRIM(F706),'LP RMH'!$A:$A,0))),0),IFERROR(INDEX('LP MONCAR'!$E:$E,MATCH(TRIM(F706),'LP MONCAR'!$A:$A,0)),0)))</f>
        <v/>
      </c>
    </row>
    <row r="707">
      <c r="A707" s="37" t="n"/>
      <c r="E707" s="16">
        <f>IFERROR(IF(LEFT(F707,2)="RM","RMH","MONCAR"),"")</f>
        <v/>
      </c>
      <c r="J707">
        <f>IF(TRIM(F707)="","",IF(LEFT(TRIM(F707),2)="RM",IFERROR(IF(D707&gt;=DATE(2026,4,1),INDEX('LP RMH'!$F:$F,MATCH(TRIM(F707),'LP RMH'!$A:$A,0)),INDEX('LP RMH'!$E:$E,MATCH(TRIM(F707),'LP RMH'!$A:$A,0))),0),IFERROR(INDEX('LP MONCAR'!$E:$E,MATCH(TRIM(F707),'LP MONCAR'!$A:$A,0)),0)))</f>
        <v/>
      </c>
    </row>
    <row r="708">
      <c r="A708" s="37" t="n"/>
      <c r="E708" s="16">
        <f>IFERROR(IF(LEFT(F708,2)="RM","RMH","MONCAR"),"")</f>
        <v/>
      </c>
      <c r="J708">
        <f>IF(TRIM(F708)="","",IF(LEFT(TRIM(F708),2)="RM",IFERROR(IF(D708&gt;=DATE(2026,4,1),INDEX('LP RMH'!$F:$F,MATCH(TRIM(F708),'LP RMH'!$A:$A,0)),INDEX('LP RMH'!$E:$E,MATCH(TRIM(F708),'LP RMH'!$A:$A,0))),0),IFERROR(INDEX('LP MONCAR'!$E:$E,MATCH(TRIM(F708),'LP MONCAR'!$A:$A,0)),0)))</f>
        <v/>
      </c>
    </row>
    <row r="709">
      <c r="A709" s="37" t="n"/>
      <c r="E709" s="16">
        <f>IFERROR(IF(LEFT(F709,2)="RM","RMH","MONCAR"),"")</f>
        <v/>
      </c>
      <c r="J709">
        <f>IF(TRIM(F709)="","",IF(LEFT(TRIM(F709),2)="RM",IFERROR(IF(D709&gt;=DATE(2026,4,1),INDEX('LP RMH'!$F:$F,MATCH(TRIM(F709),'LP RMH'!$A:$A,0)),INDEX('LP RMH'!$E:$E,MATCH(TRIM(F709),'LP RMH'!$A:$A,0))),0),IFERROR(INDEX('LP MONCAR'!$E:$E,MATCH(TRIM(F709),'LP MONCAR'!$A:$A,0)),0)))</f>
        <v/>
      </c>
    </row>
    <row r="710">
      <c r="A710" s="37" t="n"/>
      <c r="E710" s="16">
        <f>IFERROR(IF(LEFT(F710,2)="RM","RMH","MONCAR"),"")</f>
        <v/>
      </c>
      <c r="J710">
        <f>IF(TRIM(F710)="","",IF(LEFT(TRIM(F710),2)="RM",IFERROR(IF(D710&gt;=DATE(2026,4,1),INDEX('LP RMH'!$F:$F,MATCH(TRIM(F710),'LP RMH'!$A:$A,0)),INDEX('LP RMH'!$E:$E,MATCH(TRIM(F710),'LP RMH'!$A:$A,0))),0),IFERROR(INDEX('LP MONCAR'!$E:$E,MATCH(TRIM(F710),'LP MONCAR'!$A:$A,0)),0)))</f>
        <v/>
      </c>
    </row>
    <row r="711">
      <c r="A711" s="37" t="n"/>
      <c r="E711" s="16">
        <f>IFERROR(IF(LEFT(F711,2)="RM","RMH","MONCAR"),"")</f>
        <v/>
      </c>
      <c r="J711">
        <f>IF(TRIM(F711)="","",IF(LEFT(TRIM(F711),2)="RM",IFERROR(IF(D711&gt;=DATE(2026,4,1),INDEX('LP RMH'!$F:$F,MATCH(TRIM(F711),'LP RMH'!$A:$A,0)),INDEX('LP RMH'!$E:$E,MATCH(TRIM(F711),'LP RMH'!$A:$A,0))),0),IFERROR(INDEX('LP MONCAR'!$E:$E,MATCH(TRIM(F711),'LP MONCAR'!$A:$A,0)),0)))</f>
        <v/>
      </c>
    </row>
    <row r="712">
      <c r="A712" s="37" t="n"/>
      <c r="E712" s="16">
        <f>IFERROR(IF(LEFT(F712,2)="RM","RMH","MONCAR"),"")</f>
        <v/>
      </c>
      <c r="J712">
        <f>IF(TRIM(F712)="","",IF(LEFT(TRIM(F712),2)="RM",IFERROR(IF(D712&gt;=DATE(2026,4,1),INDEX('LP RMH'!$F:$F,MATCH(TRIM(F712),'LP RMH'!$A:$A,0)),INDEX('LP RMH'!$E:$E,MATCH(TRIM(F712),'LP RMH'!$A:$A,0))),0),IFERROR(INDEX('LP MONCAR'!$E:$E,MATCH(TRIM(F712),'LP MONCAR'!$A:$A,0)),0)))</f>
        <v/>
      </c>
    </row>
    <row r="713">
      <c r="A713" s="37" t="n"/>
      <c r="E713" s="16">
        <f>IFERROR(IF(LEFT(F713,2)="RM","RMH","MONCAR"),"")</f>
        <v/>
      </c>
      <c r="J713">
        <f>IF(TRIM(F713)="","",IF(LEFT(TRIM(F713),2)="RM",IFERROR(IF(D713&gt;=DATE(2026,4,1),INDEX('LP RMH'!$F:$F,MATCH(TRIM(F713),'LP RMH'!$A:$A,0)),INDEX('LP RMH'!$E:$E,MATCH(TRIM(F713),'LP RMH'!$A:$A,0))),0),IFERROR(INDEX('LP MONCAR'!$E:$E,MATCH(TRIM(F713),'LP MONCAR'!$A:$A,0)),0)))</f>
        <v/>
      </c>
    </row>
    <row r="714">
      <c r="A714" s="37" t="n"/>
      <c r="E714" s="16">
        <f>IFERROR(IF(LEFT(F714,2)="RM","RMH","MONCAR"),"")</f>
        <v/>
      </c>
      <c r="J714">
        <f>IF(TRIM(F714)="","",IF(LEFT(TRIM(F714),2)="RM",IFERROR(IF(D714&gt;=DATE(2026,4,1),INDEX('LP RMH'!$F:$F,MATCH(TRIM(F714),'LP RMH'!$A:$A,0)),INDEX('LP RMH'!$E:$E,MATCH(TRIM(F714),'LP RMH'!$A:$A,0))),0),IFERROR(INDEX('LP MONCAR'!$E:$E,MATCH(TRIM(F714),'LP MONCAR'!$A:$A,0)),0)))</f>
        <v/>
      </c>
    </row>
    <row r="715">
      <c r="A715" s="37" t="n"/>
      <c r="E715" s="16">
        <f>IFERROR(IF(LEFT(F715,2)="RM","RMH","MONCAR"),"")</f>
        <v/>
      </c>
      <c r="J715">
        <f>IF(TRIM(F715)="","",IF(LEFT(TRIM(F715),2)="RM",IFERROR(IF(D715&gt;=DATE(2026,4,1),INDEX('LP RMH'!$F:$F,MATCH(TRIM(F715),'LP RMH'!$A:$A,0)),INDEX('LP RMH'!$E:$E,MATCH(TRIM(F715),'LP RMH'!$A:$A,0))),0),IFERROR(INDEX('LP MONCAR'!$E:$E,MATCH(TRIM(F715),'LP MONCAR'!$A:$A,0)),0)))</f>
        <v/>
      </c>
    </row>
    <row r="716">
      <c r="A716" s="37" t="n"/>
      <c r="E716" s="16">
        <f>IFERROR(IF(LEFT(F716,2)="RM","RMH","MONCAR"),"")</f>
        <v/>
      </c>
      <c r="J716">
        <f>IF(TRIM(F716)="","",IF(LEFT(TRIM(F716),2)="RM",IFERROR(IF(D716&gt;=DATE(2026,4,1),INDEX('LP RMH'!$F:$F,MATCH(TRIM(F716),'LP RMH'!$A:$A,0)),INDEX('LP RMH'!$E:$E,MATCH(TRIM(F716),'LP RMH'!$A:$A,0))),0),IFERROR(INDEX('LP MONCAR'!$E:$E,MATCH(TRIM(F716),'LP MONCAR'!$A:$A,0)),0)))</f>
        <v/>
      </c>
    </row>
    <row r="717">
      <c r="A717" s="37" t="n"/>
      <c r="E717" s="16">
        <f>IFERROR(IF(LEFT(F717,2)="RM","RMH","MONCAR"),"")</f>
        <v/>
      </c>
      <c r="J717">
        <f>IF(TRIM(F717)="","",IF(LEFT(TRIM(F717),2)="RM",IFERROR(IF(D717&gt;=DATE(2026,4,1),INDEX('LP RMH'!$F:$F,MATCH(TRIM(F717),'LP RMH'!$A:$A,0)),INDEX('LP RMH'!$E:$E,MATCH(TRIM(F717),'LP RMH'!$A:$A,0))),0),IFERROR(INDEX('LP MONCAR'!$E:$E,MATCH(TRIM(F717),'LP MONCAR'!$A:$A,0)),0)))</f>
        <v/>
      </c>
    </row>
    <row r="718">
      <c r="A718" s="37" t="n"/>
      <c r="E718" s="16">
        <f>IFERROR(IF(LEFT(F718,2)="RM","RMH","MONCAR"),"")</f>
        <v/>
      </c>
      <c r="J718">
        <f>IF(TRIM(F718)="","",IF(LEFT(TRIM(F718),2)="RM",IFERROR(IF(D718&gt;=DATE(2026,4,1),INDEX('LP RMH'!$F:$F,MATCH(TRIM(F718),'LP RMH'!$A:$A,0)),INDEX('LP RMH'!$E:$E,MATCH(TRIM(F718),'LP RMH'!$A:$A,0))),0),IFERROR(INDEX('LP MONCAR'!$E:$E,MATCH(TRIM(F718),'LP MONCAR'!$A:$A,0)),0)))</f>
        <v/>
      </c>
    </row>
    <row r="719">
      <c r="A719" s="37" t="n"/>
      <c r="E719" s="16">
        <f>IFERROR(IF(LEFT(F719,2)="RM","RMH","MONCAR"),"")</f>
        <v/>
      </c>
      <c r="J719">
        <f>IF(TRIM(F719)="","",IF(LEFT(TRIM(F719),2)="RM",IFERROR(IF(D719&gt;=DATE(2026,4,1),INDEX('LP RMH'!$F:$F,MATCH(TRIM(F719),'LP RMH'!$A:$A,0)),INDEX('LP RMH'!$E:$E,MATCH(TRIM(F719),'LP RMH'!$A:$A,0))),0),IFERROR(INDEX('LP MONCAR'!$E:$E,MATCH(TRIM(F719),'LP MONCAR'!$A:$A,0)),0)))</f>
        <v/>
      </c>
    </row>
    <row r="720">
      <c r="A720" s="37" t="n"/>
      <c r="E720" s="16">
        <f>IFERROR(IF(LEFT(F720,2)="RM","RMH","MONCAR"),"")</f>
        <v/>
      </c>
      <c r="J720">
        <f>IF(TRIM(F720)="","",IF(LEFT(TRIM(F720),2)="RM",IFERROR(IF(D720&gt;=DATE(2026,4,1),INDEX('LP RMH'!$F:$F,MATCH(TRIM(F720),'LP RMH'!$A:$A,0)),INDEX('LP RMH'!$E:$E,MATCH(TRIM(F720),'LP RMH'!$A:$A,0))),0),IFERROR(INDEX('LP MONCAR'!$E:$E,MATCH(TRIM(F720),'LP MONCAR'!$A:$A,0)),0)))</f>
        <v/>
      </c>
    </row>
    <row r="721">
      <c r="A721" s="37" t="n"/>
      <c r="E721" s="16">
        <f>IFERROR(IF(LEFT(F721,2)="RM","RMH","MONCAR"),"")</f>
        <v/>
      </c>
      <c r="J721">
        <f>IF(TRIM(F721)="","",IF(LEFT(TRIM(F721),2)="RM",IFERROR(IF(D721&gt;=DATE(2026,4,1),INDEX('LP RMH'!$F:$F,MATCH(TRIM(F721),'LP RMH'!$A:$A,0)),INDEX('LP RMH'!$E:$E,MATCH(TRIM(F721),'LP RMH'!$A:$A,0))),0),IFERROR(INDEX('LP MONCAR'!$E:$E,MATCH(TRIM(F721),'LP MONCAR'!$A:$A,0)),0)))</f>
        <v/>
      </c>
    </row>
    <row r="722">
      <c r="A722" s="37" t="n"/>
      <c r="E722" s="16">
        <f>IFERROR(IF(LEFT(F722,2)="RM","RMH","MONCAR"),"")</f>
        <v/>
      </c>
      <c r="J722">
        <f>IF(TRIM(F722)="","",IF(LEFT(TRIM(F722),2)="RM",IFERROR(IF(D722&gt;=DATE(2026,4,1),INDEX('LP RMH'!$F:$F,MATCH(TRIM(F722),'LP RMH'!$A:$A,0)),INDEX('LP RMH'!$E:$E,MATCH(TRIM(F722),'LP RMH'!$A:$A,0))),0),IFERROR(INDEX('LP MONCAR'!$E:$E,MATCH(TRIM(F722),'LP MONCAR'!$A:$A,0)),0)))</f>
        <v/>
      </c>
    </row>
    <row r="723">
      <c r="A723" s="37" t="n"/>
      <c r="E723" s="16">
        <f>IFERROR(IF(LEFT(F723,2)="RM","RMH","MONCAR"),"")</f>
        <v/>
      </c>
      <c r="J723">
        <f>IF(TRIM(F723)="","",IF(LEFT(TRIM(F723),2)="RM",IFERROR(IF(D723&gt;=DATE(2026,4,1),INDEX('LP RMH'!$F:$F,MATCH(TRIM(F723),'LP RMH'!$A:$A,0)),INDEX('LP RMH'!$E:$E,MATCH(TRIM(F723),'LP RMH'!$A:$A,0))),0),IFERROR(INDEX('LP MONCAR'!$E:$E,MATCH(TRIM(F723),'LP MONCAR'!$A:$A,0)),0)))</f>
        <v/>
      </c>
    </row>
    <row r="724">
      <c r="A724" s="37" t="n"/>
      <c r="E724" s="16">
        <f>IFERROR(IF(LEFT(F724,2)="RM","RMH","MONCAR"),"")</f>
        <v/>
      </c>
      <c r="J724">
        <f>IF(TRIM(F724)="","",IF(LEFT(TRIM(F724),2)="RM",IFERROR(IF(D724&gt;=DATE(2026,4,1),INDEX('LP RMH'!$F:$F,MATCH(TRIM(F724),'LP RMH'!$A:$A,0)),INDEX('LP RMH'!$E:$E,MATCH(TRIM(F724),'LP RMH'!$A:$A,0))),0),IFERROR(INDEX('LP MONCAR'!$E:$E,MATCH(TRIM(F724),'LP MONCAR'!$A:$A,0)),0)))</f>
        <v/>
      </c>
    </row>
    <row r="725">
      <c r="A725" s="37" t="n"/>
      <c r="E725" s="16">
        <f>IFERROR(IF(LEFT(F725,2)="RM","RMH","MONCAR"),"")</f>
        <v/>
      </c>
      <c r="J725">
        <f>IF(TRIM(F725)="","",IF(LEFT(TRIM(F725),2)="RM",IFERROR(IF(D725&gt;=DATE(2026,4,1),INDEX('LP RMH'!$F:$F,MATCH(TRIM(F725),'LP RMH'!$A:$A,0)),INDEX('LP RMH'!$E:$E,MATCH(TRIM(F725),'LP RMH'!$A:$A,0))),0),IFERROR(INDEX('LP MONCAR'!$E:$E,MATCH(TRIM(F725),'LP MONCAR'!$A:$A,0)),0)))</f>
        <v/>
      </c>
    </row>
    <row r="726">
      <c r="A726" s="37" t="n"/>
      <c r="E726" s="16">
        <f>IFERROR(IF(LEFT(F726,2)="RM","RMH","MONCAR"),"")</f>
        <v/>
      </c>
      <c r="J726">
        <f>IF(TRIM(F726)="","",IF(LEFT(TRIM(F726),2)="RM",IFERROR(IF(D726&gt;=DATE(2026,4,1),INDEX('LP RMH'!$F:$F,MATCH(TRIM(F726),'LP RMH'!$A:$A,0)),INDEX('LP RMH'!$E:$E,MATCH(TRIM(F726),'LP RMH'!$A:$A,0))),0),IFERROR(INDEX('LP MONCAR'!$E:$E,MATCH(TRIM(F726),'LP MONCAR'!$A:$A,0)),0)))</f>
        <v/>
      </c>
    </row>
    <row r="727">
      <c r="A727" s="37" t="n"/>
      <c r="E727" s="16">
        <f>IFERROR(IF(LEFT(F727,2)="RM","RMH","MONCAR"),"")</f>
        <v/>
      </c>
      <c r="J727">
        <f>IF(TRIM(F727)="","",IF(LEFT(TRIM(F727),2)="RM",IFERROR(IF(D727&gt;=DATE(2026,4,1),INDEX('LP RMH'!$F:$F,MATCH(TRIM(F727),'LP RMH'!$A:$A,0)),INDEX('LP RMH'!$E:$E,MATCH(TRIM(F727),'LP RMH'!$A:$A,0))),0),IFERROR(INDEX('LP MONCAR'!$E:$E,MATCH(TRIM(F727),'LP MONCAR'!$A:$A,0)),0)))</f>
        <v/>
      </c>
    </row>
    <row r="728">
      <c r="A728" s="37" t="n"/>
      <c r="E728" s="16">
        <f>IFERROR(IF(LEFT(F728,2)="RM","RMH","MONCAR"),"")</f>
        <v/>
      </c>
      <c r="J728">
        <f>IF(TRIM(F728)="","",IF(LEFT(TRIM(F728),2)="RM",IFERROR(IF(D728&gt;=DATE(2026,4,1),INDEX('LP RMH'!$F:$F,MATCH(TRIM(F728),'LP RMH'!$A:$A,0)),INDEX('LP RMH'!$E:$E,MATCH(TRIM(F728),'LP RMH'!$A:$A,0))),0),IFERROR(INDEX('LP MONCAR'!$E:$E,MATCH(TRIM(F728),'LP MONCAR'!$A:$A,0)),0)))</f>
        <v/>
      </c>
    </row>
    <row r="729">
      <c r="A729" s="37" t="n"/>
      <c r="E729" s="16">
        <f>IFERROR(IF(LEFT(F729,2)="RM","RMH","MONCAR"),"")</f>
        <v/>
      </c>
      <c r="J729">
        <f>IF(TRIM(F729)="","",IF(LEFT(TRIM(F729),2)="RM",IFERROR(IF(D729&gt;=DATE(2026,4,1),INDEX('LP RMH'!$F:$F,MATCH(TRIM(F729),'LP RMH'!$A:$A,0)),INDEX('LP RMH'!$E:$E,MATCH(TRIM(F729),'LP RMH'!$A:$A,0))),0),IFERROR(INDEX('LP MONCAR'!$E:$E,MATCH(TRIM(F729),'LP MONCAR'!$A:$A,0)),0)))</f>
        <v/>
      </c>
    </row>
    <row r="730">
      <c r="A730" s="37" t="n"/>
      <c r="E730" s="16">
        <f>IFERROR(IF(LEFT(F730,2)="RM","RMH","MONCAR"),"")</f>
        <v/>
      </c>
      <c r="J730">
        <f>IF(TRIM(F730)="","",IF(LEFT(TRIM(F730),2)="RM",IFERROR(IF(D730&gt;=DATE(2026,4,1),INDEX('LP RMH'!$F:$F,MATCH(TRIM(F730),'LP RMH'!$A:$A,0)),INDEX('LP RMH'!$E:$E,MATCH(TRIM(F730),'LP RMH'!$A:$A,0))),0),IFERROR(INDEX('LP MONCAR'!$E:$E,MATCH(TRIM(F730),'LP MONCAR'!$A:$A,0)),0)))</f>
        <v/>
      </c>
    </row>
    <row r="731">
      <c r="A731" s="37" t="n"/>
      <c r="E731" s="16">
        <f>IFERROR(IF(LEFT(F731,2)="RM","RMH","MONCAR"),"")</f>
        <v/>
      </c>
      <c r="J731">
        <f>IF(TRIM(F731)="","",IF(LEFT(TRIM(F731),2)="RM",IFERROR(IF(D731&gt;=DATE(2026,4,1),INDEX('LP RMH'!$F:$F,MATCH(TRIM(F731),'LP RMH'!$A:$A,0)),INDEX('LP RMH'!$E:$E,MATCH(TRIM(F731),'LP RMH'!$A:$A,0))),0),IFERROR(INDEX('LP MONCAR'!$E:$E,MATCH(TRIM(F731),'LP MONCAR'!$A:$A,0)),0)))</f>
        <v/>
      </c>
    </row>
    <row r="732">
      <c r="A732" s="37" t="n"/>
      <c r="E732" s="16">
        <f>IFERROR(IF(LEFT(F732,2)="RM","RMH","MONCAR"),"")</f>
        <v/>
      </c>
      <c r="J732">
        <f>IF(TRIM(F732)="","",IF(LEFT(TRIM(F732),2)="RM",IFERROR(IF(D732&gt;=DATE(2026,4,1),INDEX('LP RMH'!$F:$F,MATCH(TRIM(F732),'LP RMH'!$A:$A,0)),INDEX('LP RMH'!$E:$E,MATCH(TRIM(F732),'LP RMH'!$A:$A,0))),0),IFERROR(INDEX('LP MONCAR'!$E:$E,MATCH(TRIM(F732),'LP MONCAR'!$A:$A,0)),0)))</f>
        <v/>
      </c>
    </row>
    <row r="733">
      <c r="A733" s="37" t="n"/>
      <c r="E733" s="16">
        <f>IFERROR(IF(LEFT(F733,2)="RM","RMH","MONCAR"),"")</f>
        <v/>
      </c>
      <c r="J733">
        <f>IF(TRIM(F733)="","",IF(LEFT(TRIM(F733),2)="RM",IFERROR(IF(D733&gt;=DATE(2026,4,1),INDEX('LP RMH'!$F:$F,MATCH(TRIM(F733),'LP RMH'!$A:$A,0)),INDEX('LP RMH'!$E:$E,MATCH(TRIM(F733),'LP RMH'!$A:$A,0))),0),IFERROR(INDEX('LP MONCAR'!$E:$E,MATCH(TRIM(F733),'LP MONCAR'!$A:$A,0)),0)))</f>
        <v/>
      </c>
    </row>
    <row r="734">
      <c r="A734" s="37" t="n"/>
      <c r="E734" s="16">
        <f>IFERROR(IF(LEFT(F734,2)="RM","RMH","MONCAR"),"")</f>
        <v/>
      </c>
      <c r="J734">
        <f>IF(TRIM(F734)="","",IF(LEFT(TRIM(F734),2)="RM",IFERROR(IF(D734&gt;=DATE(2026,4,1),INDEX('LP RMH'!$F:$F,MATCH(TRIM(F734),'LP RMH'!$A:$A,0)),INDEX('LP RMH'!$E:$E,MATCH(TRIM(F734),'LP RMH'!$A:$A,0))),0),IFERROR(INDEX('LP MONCAR'!$E:$E,MATCH(TRIM(F734),'LP MONCAR'!$A:$A,0)),0)))</f>
        <v/>
      </c>
    </row>
    <row r="735">
      <c r="A735" s="37" t="n"/>
      <c r="E735" s="16">
        <f>IFERROR(IF(LEFT(F735,2)="RM","RMH","MONCAR"),"")</f>
        <v/>
      </c>
      <c r="J735">
        <f>IF(TRIM(F735)="","",IF(LEFT(TRIM(F735),2)="RM",IFERROR(IF(D735&gt;=DATE(2026,4,1),INDEX('LP RMH'!$F:$F,MATCH(TRIM(F735),'LP RMH'!$A:$A,0)),INDEX('LP RMH'!$E:$E,MATCH(TRIM(F735),'LP RMH'!$A:$A,0))),0),IFERROR(INDEX('LP MONCAR'!$E:$E,MATCH(TRIM(F735),'LP MONCAR'!$A:$A,0)),0)))</f>
        <v/>
      </c>
    </row>
    <row r="736">
      <c r="A736" s="37" t="n"/>
      <c r="E736" s="16">
        <f>IFERROR(IF(LEFT(F736,2)="RM","RMH","MONCAR"),"")</f>
        <v/>
      </c>
      <c r="J736">
        <f>IF(TRIM(F736)="","",IF(LEFT(TRIM(F736),2)="RM",IFERROR(IF(D736&gt;=DATE(2026,4,1),INDEX('LP RMH'!$F:$F,MATCH(TRIM(F736),'LP RMH'!$A:$A,0)),INDEX('LP RMH'!$E:$E,MATCH(TRIM(F736),'LP RMH'!$A:$A,0))),0),IFERROR(INDEX('LP MONCAR'!$E:$E,MATCH(TRIM(F736),'LP MONCAR'!$A:$A,0)),0)))</f>
        <v/>
      </c>
    </row>
    <row r="737">
      <c r="A737" s="37" t="n"/>
      <c r="E737" s="16">
        <f>IFERROR(IF(LEFT(F737,2)="RM","RMH","MONCAR"),"")</f>
        <v/>
      </c>
      <c r="J737">
        <f>IF(TRIM(F737)="","",IF(LEFT(TRIM(F737),2)="RM",IFERROR(IF(D737&gt;=DATE(2026,4,1),INDEX('LP RMH'!$F:$F,MATCH(TRIM(F737),'LP RMH'!$A:$A,0)),INDEX('LP RMH'!$E:$E,MATCH(TRIM(F737),'LP RMH'!$A:$A,0))),0),IFERROR(INDEX('LP MONCAR'!$E:$E,MATCH(TRIM(F737),'LP MONCAR'!$A:$A,0)),0)))</f>
        <v/>
      </c>
    </row>
    <row r="738">
      <c r="A738" s="37" t="n"/>
      <c r="E738" s="16">
        <f>IFERROR(IF(LEFT(F738,2)="RM","RMH","MONCAR"),"")</f>
        <v/>
      </c>
      <c r="J738">
        <f>IF(TRIM(F738)="","",IF(LEFT(TRIM(F738),2)="RM",IFERROR(IF(D738&gt;=DATE(2026,4,1),INDEX('LP RMH'!$F:$F,MATCH(TRIM(F738),'LP RMH'!$A:$A,0)),INDEX('LP RMH'!$E:$E,MATCH(TRIM(F738),'LP RMH'!$A:$A,0))),0),IFERROR(INDEX('LP MONCAR'!$E:$E,MATCH(TRIM(F738),'LP MONCAR'!$A:$A,0)),0)))</f>
        <v/>
      </c>
    </row>
    <row r="739">
      <c r="A739" s="37" t="n"/>
      <c r="E739" s="16">
        <f>IFERROR(IF(LEFT(F739,2)="RM","RMH","MONCAR"),"")</f>
        <v/>
      </c>
      <c r="J739">
        <f>IF(TRIM(F739)="","",IF(LEFT(TRIM(F739),2)="RM",IFERROR(IF(D739&gt;=DATE(2026,4,1),INDEX('LP RMH'!$F:$F,MATCH(TRIM(F739),'LP RMH'!$A:$A,0)),INDEX('LP RMH'!$E:$E,MATCH(TRIM(F739),'LP RMH'!$A:$A,0))),0),IFERROR(INDEX('LP MONCAR'!$E:$E,MATCH(TRIM(F739),'LP MONCAR'!$A:$A,0)),0)))</f>
        <v/>
      </c>
    </row>
    <row r="740">
      <c r="A740" s="37" t="n"/>
      <c r="E740" s="16">
        <f>IFERROR(IF(LEFT(F740,2)="RM","RMH","MONCAR"),"")</f>
        <v/>
      </c>
      <c r="J740">
        <f>IF(TRIM(F740)="","",IF(LEFT(TRIM(F740),2)="RM",IFERROR(IF(D740&gt;=DATE(2026,4,1),INDEX('LP RMH'!$F:$F,MATCH(TRIM(F740),'LP RMH'!$A:$A,0)),INDEX('LP RMH'!$E:$E,MATCH(TRIM(F740),'LP RMH'!$A:$A,0))),0),IFERROR(INDEX('LP MONCAR'!$E:$E,MATCH(TRIM(F740),'LP MONCAR'!$A:$A,0)),0)))</f>
        <v/>
      </c>
    </row>
    <row r="741">
      <c r="A741" s="37" t="n"/>
      <c r="E741" s="16">
        <f>IFERROR(IF(LEFT(F741,2)="RM","RMH","MONCAR"),"")</f>
        <v/>
      </c>
      <c r="J741">
        <f>IF(TRIM(F741)="","",IF(LEFT(TRIM(F741),2)="RM",IFERROR(IF(D741&gt;=DATE(2026,4,1),INDEX('LP RMH'!$F:$F,MATCH(TRIM(F741),'LP RMH'!$A:$A,0)),INDEX('LP RMH'!$E:$E,MATCH(TRIM(F741),'LP RMH'!$A:$A,0))),0),IFERROR(INDEX('LP MONCAR'!$E:$E,MATCH(TRIM(F741),'LP MONCAR'!$A:$A,0)),0)))</f>
        <v/>
      </c>
    </row>
    <row r="742">
      <c r="A742" s="37" t="n"/>
      <c r="E742" s="16">
        <f>IFERROR(IF(LEFT(F742,2)="RM","RMH","MONCAR"),"")</f>
        <v/>
      </c>
      <c r="J742">
        <f>IF(TRIM(F742)="","",IF(LEFT(TRIM(F742),2)="RM",IFERROR(IF(D742&gt;=DATE(2026,4,1),INDEX('LP RMH'!$F:$F,MATCH(TRIM(F742),'LP RMH'!$A:$A,0)),INDEX('LP RMH'!$E:$E,MATCH(TRIM(F742),'LP RMH'!$A:$A,0))),0),IFERROR(INDEX('LP MONCAR'!$E:$E,MATCH(TRIM(F742),'LP MONCAR'!$A:$A,0)),0)))</f>
        <v/>
      </c>
    </row>
    <row r="743">
      <c r="A743" s="37" t="n"/>
      <c r="E743" s="16">
        <f>IFERROR(IF(LEFT(F743,2)="RM","RMH","MONCAR"),"")</f>
        <v/>
      </c>
      <c r="J743">
        <f>IF(TRIM(F743)="","",IF(LEFT(TRIM(F743),2)="RM",IFERROR(IF(D743&gt;=DATE(2026,4,1),INDEX('LP RMH'!$F:$F,MATCH(TRIM(F743),'LP RMH'!$A:$A,0)),INDEX('LP RMH'!$E:$E,MATCH(TRIM(F743),'LP RMH'!$A:$A,0))),0),IFERROR(INDEX('LP MONCAR'!$E:$E,MATCH(TRIM(F743),'LP MONCAR'!$A:$A,0)),0)))</f>
        <v/>
      </c>
    </row>
    <row r="744">
      <c r="A744" s="37" t="n"/>
      <c r="E744" s="16">
        <f>IFERROR(IF(LEFT(F744,2)="RM","RMH","MONCAR"),"")</f>
        <v/>
      </c>
      <c r="J744">
        <f>IF(TRIM(F744)="","",IF(LEFT(TRIM(F744),2)="RM",IFERROR(IF(D744&gt;=DATE(2026,4,1),INDEX('LP RMH'!$F:$F,MATCH(TRIM(F744),'LP RMH'!$A:$A,0)),INDEX('LP RMH'!$E:$E,MATCH(TRIM(F744),'LP RMH'!$A:$A,0))),0),IFERROR(INDEX('LP MONCAR'!$E:$E,MATCH(TRIM(F744),'LP MONCAR'!$A:$A,0)),0)))</f>
        <v/>
      </c>
    </row>
    <row r="745">
      <c r="A745" s="37" t="n"/>
      <c r="E745" s="16">
        <f>IFERROR(IF(LEFT(F745,2)="RM","RMH","MONCAR"),"")</f>
        <v/>
      </c>
      <c r="J745">
        <f>IF(TRIM(F745)="","",IF(LEFT(TRIM(F745),2)="RM",IFERROR(IF(D745&gt;=DATE(2026,4,1),INDEX('LP RMH'!$F:$F,MATCH(TRIM(F745),'LP RMH'!$A:$A,0)),INDEX('LP RMH'!$E:$E,MATCH(TRIM(F745),'LP RMH'!$A:$A,0))),0),IFERROR(INDEX('LP MONCAR'!$E:$E,MATCH(TRIM(F745),'LP MONCAR'!$A:$A,0)),0)))</f>
        <v/>
      </c>
    </row>
    <row r="746">
      <c r="A746" s="37" t="n"/>
      <c r="E746" s="16">
        <f>IFERROR(IF(LEFT(F746,2)="RM","RMH","MONCAR"),"")</f>
        <v/>
      </c>
      <c r="J746">
        <f>IF(TRIM(F746)="","",IF(LEFT(TRIM(F746),2)="RM",IFERROR(IF(D746&gt;=DATE(2026,4,1),INDEX('LP RMH'!$F:$F,MATCH(TRIM(F746),'LP RMH'!$A:$A,0)),INDEX('LP RMH'!$E:$E,MATCH(TRIM(F746),'LP RMH'!$A:$A,0))),0),IFERROR(INDEX('LP MONCAR'!$E:$E,MATCH(TRIM(F746),'LP MONCAR'!$A:$A,0)),0)))</f>
        <v/>
      </c>
    </row>
    <row r="747">
      <c r="A747" s="37" t="n"/>
      <c r="E747" s="16">
        <f>IFERROR(IF(LEFT(F747,2)="RM","RMH","MONCAR"),"")</f>
        <v/>
      </c>
      <c r="J747">
        <f>IF(TRIM(F747)="","",IF(LEFT(TRIM(F747),2)="RM",IFERROR(IF(D747&gt;=DATE(2026,4,1),INDEX('LP RMH'!$F:$F,MATCH(TRIM(F747),'LP RMH'!$A:$A,0)),INDEX('LP RMH'!$E:$E,MATCH(TRIM(F747),'LP RMH'!$A:$A,0))),0),IFERROR(INDEX('LP MONCAR'!$E:$E,MATCH(TRIM(F747),'LP MONCAR'!$A:$A,0)),0)))</f>
        <v/>
      </c>
    </row>
    <row r="748">
      <c r="A748" s="37" t="n"/>
      <c r="E748" s="16">
        <f>IFERROR(IF(LEFT(F748,2)="RM","RMH","MONCAR"),"")</f>
        <v/>
      </c>
      <c r="J748">
        <f>IF(TRIM(F748)="","",IF(LEFT(TRIM(F748),2)="RM",IFERROR(IF(D748&gt;=DATE(2026,4,1),INDEX('LP RMH'!$F:$F,MATCH(TRIM(F748),'LP RMH'!$A:$A,0)),INDEX('LP RMH'!$E:$E,MATCH(TRIM(F748),'LP RMH'!$A:$A,0))),0),IFERROR(INDEX('LP MONCAR'!$E:$E,MATCH(TRIM(F748),'LP MONCAR'!$A:$A,0)),0)))</f>
        <v/>
      </c>
    </row>
    <row r="749">
      <c r="A749" s="37" t="n"/>
      <c r="E749" s="16">
        <f>IFERROR(IF(LEFT(F749,2)="RM","RMH","MONCAR"),"")</f>
        <v/>
      </c>
      <c r="J749">
        <f>IF(TRIM(F749)="","",IF(LEFT(TRIM(F749),2)="RM",IFERROR(IF(D749&gt;=DATE(2026,4,1),INDEX('LP RMH'!$F:$F,MATCH(TRIM(F749),'LP RMH'!$A:$A,0)),INDEX('LP RMH'!$E:$E,MATCH(TRIM(F749),'LP RMH'!$A:$A,0))),0),IFERROR(INDEX('LP MONCAR'!$E:$E,MATCH(TRIM(F749),'LP MONCAR'!$A:$A,0)),0)))</f>
        <v/>
      </c>
    </row>
    <row r="750">
      <c r="A750" s="37" t="n"/>
      <c r="E750" s="16">
        <f>IFERROR(IF(LEFT(F750,2)="RM","RMH","MONCAR"),"")</f>
        <v/>
      </c>
      <c r="J750">
        <f>IF(TRIM(F750)="","",IF(LEFT(TRIM(F750),2)="RM",IFERROR(IF(D750&gt;=DATE(2026,4,1),INDEX('LP RMH'!$F:$F,MATCH(TRIM(F750),'LP RMH'!$A:$A,0)),INDEX('LP RMH'!$E:$E,MATCH(TRIM(F750),'LP RMH'!$A:$A,0))),0),IFERROR(INDEX('LP MONCAR'!$E:$E,MATCH(TRIM(F750),'LP MONCAR'!$A:$A,0)),0)))</f>
        <v/>
      </c>
    </row>
    <row r="751">
      <c r="A751" s="37" t="n"/>
      <c r="E751" s="16">
        <f>IFERROR(IF(LEFT(F751,2)="RM","RMH","MONCAR"),"")</f>
        <v/>
      </c>
      <c r="J751">
        <f>IF(TRIM(F751)="","",IF(LEFT(TRIM(F751),2)="RM",IFERROR(IF(D751&gt;=DATE(2026,4,1),INDEX('LP RMH'!$F:$F,MATCH(TRIM(F751),'LP RMH'!$A:$A,0)),INDEX('LP RMH'!$E:$E,MATCH(TRIM(F751),'LP RMH'!$A:$A,0))),0),IFERROR(INDEX('LP MONCAR'!$E:$E,MATCH(TRIM(F751),'LP MONCAR'!$A:$A,0)),0)))</f>
        <v/>
      </c>
    </row>
    <row r="752">
      <c r="A752" s="37" t="n"/>
      <c r="E752" s="16">
        <f>IFERROR(IF(LEFT(F752,2)="RM","RMH","MONCAR"),"")</f>
        <v/>
      </c>
      <c r="J752">
        <f>IF(TRIM(F752)="","",IF(LEFT(TRIM(F752),2)="RM",IFERROR(IF(D752&gt;=DATE(2026,4,1),INDEX('LP RMH'!$F:$F,MATCH(TRIM(F752),'LP RMH'!$A:$A,0)),INDEX('LP RMH'!$E:$E,MATCH(TRIM(F752),'LP RMH'!$A:$A,0))),0),IFERROR(INDEX('LP MONCAR'!$E:$E,MATCH(TRIM(F752),'LP MONCAR'!$A:$A,0)),0)))</f>
        <v/>
      </c>
    </row>
    <row r="753">
      <c r="A753" s="37" t="n"/>
      <c r="E753" s="16">
        <f>IFERROR(IF(LEFT(F753,2)="RM","RMH","MONCAR"),"")</f>
        <v/>
      </c>
      <c r="J753">
        <f>IF(TRIM(F753)="","",IF(LEFT(TRIM(F753),2)="RM",IFERROR(IF(D753&gt;=DATE(2026,4,1),INDEX('LP RMH'!$F:$F,MATCH(TRIM(F753),'LP RMH'!$A:$A,0)),INDEX('LP RMH'!$E:$E,MATCH(TRIM(F753),'LP RMH'!$A:$A,0))),0),IFERROR(INDEX('LP MONCAR'!$E:$E,MATCH(TRIM(F753),'LP MONCAR'!$A:$A,0)),0)))</f>
        <v/>
      </c>
    </row>
    <row r="754">
      <c r="A754" s="37" t="n"/>
      <c r="E754" s="16">
        <f>IFERROR(IF(LEFT(F754,2)="RM","RMH","MONCAR"),"")</f>
        <v/>
      </c>
      <c r="J754">
        <f>IF(TRIM(F754)="","",IF(LEFT(TRIM(F754),2)="RM",IFERROR(IF(D754&gt;=DATE(2026,4,1),INDEX('LP RMH'!$F:$F,MATCH(TRIM(F754),'LP RMH'!$A:$A,0)),INDEX('LP RMH'!$E:$E,MATCH(TRIM(F754),'LP RMH'!$A:$A,0))),0),IFERROR(INDEX('LP MONCAR'!$E:$E,MATCH(TRIM(F754),'LP MONCAR'!$A:$A,0)),0)))</f>
        <v/>
      </c>
    </row>
    <row r="755">
      <c r="A755" s="37" t="n"/>
      <c r="E755" s="16">
        <f>IFERROR(IF(LEFT(F755,2)="RM","RMH","MONCAR"),"")</f>
        <v/>
      </c>
      <c r="J755">
        <f>IF(TRIM(F755)="","",IF(LEFT(TRIM(F755),2)="RM",IFERROR(IF(D755&gt;=DATE(2026,4,1),INDEX('LP RMH'!$F:$F,MATCH(TRIM(F755),'LP RMH'!$A:$A,0)),INDEX('LP RMH'!$E:$E,MATCH(TRIM(F755),'LP RMH'!$A:$A,0))),0),IFERROR(INDEX('LP MONCAR'!$E:$E,MATCH(TRIM(F755),'LP MONCAR'!$A:$A,0)),0)))</f>
        <v/>
      </c>
    </row>
    <row r="756">
      <c r="A756" s="37" t="n"/>
      <c r="E756" s="16">
        <f>IFERROR(IF(LEFT(F756,2)="RM","RMH","MONCAR"),"")</f>
        <v/>
      </c>
      <c r="J756">
        <f>IF(TRIM(F756)="","",IF(LEFT(TRIM(F756),2)="RM",IFERROR(IF(D756&gt;=DATE(2026,4,1),INDEX('LP RMH'!$F:$F,MATCH(TRIM(F756),'LP RMH'!$A:$A,0)),INDEX('LP RMH'!$E:$E,MATCH(TRIM(F756),'LP RMH'!$A:$A,0))),0),IFERROR(INDEX('LP MONCAR'!$E:$E,MATCH(TRIM(F756),'LP MONCAR'!$A:$A,0)),0)))</f>
        <v/>
      </c>
    </row>
    <row r="757">
      <c r="A757" s="37" t="n"/>
      <c r="E757" s="16">
        <f>IFERROR(IF(LEFT(F757,2)="RM","RMH","MONCAR"),"")</f>
        <v/>
      </c>
      <c r="J757">
        <f>IF(TRIM(F757)="","",IF(LEFT(TRIM(F757),2)="RM",IFERROR(IF(D757&gt;=DATE(2026,4,1),INDEX('LP RMH'!$F:$F,MATCH(TRIM(F757),'LP RMH'!$A:$A,0)),INDEX('LP RMH'!$E:$E,MATCH(TRIM(F757),'LP RMH'!$A:$A,0))),0),IFERROR(INDEX('LP MONCAR'!$E:$E,MATCH(TRIM(F757),'LP MONCAR'!$A:$A,0)),0)))</f>
        <v/>
      </c>
    </row>
    <row r="758">
      <c r="A758" s="37" t="n"/>
      <c r="E758" s="16">
        <f>IFERROR(IF(LEFT(F758,2)="RM","RMH","MONCAR"),"")</f>
        <v/>
      </c>
      <c r="J758">
        <f>IF(TRIM(F758)="","",IF(LEFT(TRIM(F758),2)="RM",IFERROR(IF(D758&gt;=DATE(2026,4,1),INDEX('LP RMH'!$F:$F,MATCH(TRIM(F758),'LP RMH'!$A:$A,0)),INDEX('LP RMH'!$E:$E,MATCH(TRIM(F758),'LP RMH'!$A:$A,0))),0),IFERROR(INDEX('LP MONCAR'!$E:$E,MATCH(TRIM(F758),'LP MONCAR'!$A:$A,0)),0)))</f>
        <v/>
      </c>
    </row>
    <row r="759">
      <c r="A759" s="37" t="n"/>
      <c r="E759" s="16">
        <f>IFERROR(IF(LEFT(F759,2)="RM","RMH","MONCAR"),"")</f>
        <v/>
      </c>
      <c r="J759">
        <f>IF(TRIM(F759)="","",IF(LEFT(TRIM(F759),2)="RM",IFERROR(IF(D759&gt;=DATE(2026,4,1),INDEX('LP RMH'!$F:$F,MATCH(TRIM(F759),'LP RMH'!$A:$A,0)),INDEX('LP RMH'!$E:$E,MATCH(TRIM(F759),'LP RMH'!$A:$A,0))),0),IFERROR(INDEX('LP MONCAR'!$E:$E,MATCH(TRIM(F759),'LP MONCAR'!$A:$A,0)),0)))</f>
        <v/>
      </c>
    </row>
    <row r="760">
      <c r="A760" s="37" t="n"/>
      <c r="E760" s="16">
        <f>IFERROR(IF(LEFT(F760,2)="RM","RMH","MONCAR"),"")</f>
        <v/>
      </c>
      <c r="J760">
        <f>IF(TRIM(F760)="","",IF(LEFT(TRIM(F760),2)="RM",IFERROR(IF(D760&gt;=DATE(2026,4,1),INDEX('LP RMH'!$F:$F,MATCH(TRIM(F760),'LP RMH'!$A:$A,0)),INDEX('LP RMH'!$E:$E,MATCH(TRIM(F760),'LP RMH'!$A:$A,0))),0),IFERROR(INDEX('LP MONCAR'!$E:$E,MATCH(TRIM(F760),'LP MONCAR'!$A:$A,0)),0)))</f>
        <v/>
      </c>
    </row>
    <row r="761">
      <c r="A761" s="37" t="n"/>
      <c r="E761" s="16">
        <f>IFERROR(IF(LEFT(F761,2)="RM","RMH","MONCAR"),"")</f>
        <v/>
      </c>
      <c r="J761">
        <f>IF(TRIM(F761)="","",IF(LEFT(TRIM(F761),2)="RM",IFERROR(IF(D761&gt;=DATE(2026,4,1),INDEX('LP RMH'!$F:$F,MATCH(TRIM(F761),'LP RMH'!$A:$A,0)),INDEX('LP RMH'!$E:$E,MATCH(TRIM(F761),'LP RMH'!$A:$A,0))),0),IFERROR(INDEX('LP MONCAR'!$E:$E,MATCH(TRIM(F761),'LP MONCAR'!$A:$A,0)),0)))</f>
        <v/>
      </c>
    </row>
    <row r="1048575">
      <c r="B1048575" s="16" t="n"/>
      <c r="H1048575" s="16" t="n"/>
    </row>
  </sheetData>
  <autoFilter ref="A1:T523"/>
  <conditionalFormatting sqref="A2:V761">
    <cfRule type="expression" priority="1" dxfId="0">
      <formula>AND($A2&lt;&gt;"",$B2&lt;&gt;"",COUNTIFS($B$2:$B$761,$B2,$A$2:$A$761,"&gt;"&amp;$A2)+COUNTIFS($B$2:$B$761,$B2,$A$2:$A$761,"&lt;"&amp;$A2)&gt;0)</formula>
    </cfRule>
  </conditionalFormatting>
  <dataValidations count="1">
    <dataValidation sqref="B327:B523" showDropDown="0" showInputMessage="0" showErrorMessage="0" allowBlank="1" type="list">
      <formula1>"Maxi,Franco,CABA"</formula1>
    </dataValidation>
  </dataValidations>
  <pageMargins left="0.75" right="0.75" top="1" bottom="1" header="0.5" footer="0.5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G21" sqref="G21"/>
    </sheetView>
  </sheetViews>
  <sheetFormatPr baseColWidth="10" defaultColWidth="8.88671875" defaultRowHeight="14.4"/>
  <cols>
    <col width="12" customWidth="1" style="39" min="1" max="1"/>
    <col width="10" customWidth="1" style="39" min="2" max="2"/>
    <col width="22" customWidth="1" style="39" min="3" max="3"/>
    <col width="38" customWidth="1" style="40" min="4" max="4"/>
    <col width="14" customWidth="1" style="39" min="5" max="5"/>
    <col width="14" customWidth="1" style="40" min="6" max="6"/>
  </cols>
  <sheetData>
    <row r="1">
      <c r="A1" s="38" t="inlineStr">
        <is>
          <t>LISTA DE PRECIOS — Cambiá B2 para activar una nueva lista</t>
        </is>
      </c>
    </row>
    <row r="2">
      <c r="A2" s="27" t="inlineStr">
        <is>
          <t>LP ACTIVA →</t>
        </is>
      </c>
      <c r="B2" s="8" t="inlineStr">
        <is>
          <t>LP 10 04.26</t>
        </is>
      </c>
      <c r="C2" s="28" t="inlineStr">
        <is>
          <t>← Cambiá este valor al nombre de la nueva LP cuando entre en vigencia</t>
        </is>
      </c>
    </row>
    <row r="3" ht="24" customHeight="1" s="40">
      <c r="A3" s="9" t="inlineStr">
        <is>
          <t>COD</t>
        </is>
      </c>
      <c r="B3" s="9" t="inlineStr">
        <is>
          <t>EMPRESA</t>
        </is>
      </c>
      <c r="C3" s="9" t="inlineStr">
        <is>
          <t>MARCA</t>
        </is>
      </c>
      <c r="D3" s="9" t="inlineStr">
        <is>
          <t>DESCRIPCION</t>
        </is>
      </c>
      <c r="E3" s="9" t="inlineStr">
        <is>
          <t>LP 10 04.26</t>
        </is>
      </c>
    </row>
    <row r="4">
      <c r="A4" s="29" t="inlineStr">
        <is>
          <t>CC 101</t>
        </is>
      </c>
      <c r="B4" s="29" t="inlineStr">
        <is>
          <t>MONCAR</t>
        </is>
      </c>
      <c r="C4" s="25" t="inlineStr">
        <is>
          <t>COBREADOS</t>
        </is>
      </c>
      <c r="D4" s="10" t="inlineStr">
        <is>
          <t>ATORNILLADOR BOSCH GSR 180</t>
        </is>
      </c>
      <c r="E4" s="25" t="n">
        <v>12190</v>
      </c>
    </row>
    <row r="5">
      <c r="A5" s="30" t="inlineStr">
        <is>
          <t>CC 102</t>
        </is>
      </c>
      <c r="B5" s="30" t="inlineStr">
        <is>
          <t>MONCAR</t>
        </is>
      </c>
      <c r="C5" s="26" t="inlineStr">
        <is>
          <t>COBREADOS</t>
        </is>
      </c>
      <c r="D5" s="11" t="inlineStr">
        <is>
          <t>ATORNILLADOR MAKITA CB 440</t>
        </is>
      </c>
      <c r="E5" s="26" t="n">
        <v>9600</v>
      </c>
    </row>
    <row r="6">
      <c r="A6" s="29" t="inlineStr">
        <is>
          <t>CE 001</t>
        </is>
      </c>
      <c r="B6" s="29" t="inlineStr">
        <is>
          <t>MONCAR</t>
        </is>
      </c>
      <c r="C6" s="25" t="n"/>
      <c r="D6" s="10" t="inlineStr">
        <is>
          <t>TURBION</t>
        </is>
      </c>
      <c r="E6" s="25" t="n">
        <v>6170</v>
      </c>
    </row>
    <row r="7">
      <c r="A7" s="30" t="inlineStr">
        <is>
          <t>CE 002</t>
        </is>
      </c>
      <c r="B7" s="30" t="inlineStr">
        <is>
          <t>MONCAR</t>
        </is>
      </c>
      <c r="C7" s="26" t="n"/>
      <c r="D7" s="11" t="inlineStr">
        <is>
          <t>INDUSTRIAL ULTRACOMB</t>
        </is>
      </c>
      <c r="E7" s="26" t="n">
        <v>4640</v>
      </c>
    </row>
    <row r="8">
      <c r="A8" s="29" t="inlineStr">
        <is>
          <t>CE 003</t>
        </is>
      </c>
      <c r="B8" s="29" t="inlineStr">
        <is>
          <t>MONCAR</t>
        </is>
      </c>
      <c r="C8" s="25" t="n"/>
      <c r="D8" s="10" t="inlineStr">
        <is>
          <t>INDUSTRIAL DISPROMAC - TURBION</t>
        </is>
      </c>
      <c r="E8" s="25" t="n">
        <v>5170</v>
      </c>
    </row>
    <row r="9">
      <c r="A9" s="30" t="inlineStr">
        <is>
          <t>CE 004</t>
        </is>
      </c>
      <c r="B9" s="30" t="inlineStr">
        <is>
          <t>MONCAR</t>
        </is>
      </c>
      <c r="C9" s="26" t="n"/>
      <c r="D9" s="11" t="inlineStr">
        <is>
          <t>INDUSTRIALES VARIAS</t>
        </is>
      </c>
      <c r="E9" s="26" t="n">
        <v>5460</v>
      </c>
    </row>
    <row r="10">
      <c r="A10" s="29" t="inlineStr">
        <is>
          <t>CE 005</t>
        </is>
      </c>
      <c r="B10" s="29" t="inlineStr">
        <is>
          <t>MONCAR</t>
        </is>
      </c>
      <c r="C10" s="25" t="n"/>
      <c r="D10" s="10" t="inlineStr">
        <is>
          <t>YELMO JET</t>
        </is>
      </c>
      <c r="E10" s="25" t="n">
        <v>5130</v>
      </c>
    </row>
    <row r="11">
      <c r="A11" s="30" t="inlineStr">
        <is>
          <t>CE 006</t>
        </is>
      </c>
      <c r="B11" s="30" t="inlineStr">
        <is>
          <t>MONCAR</t>
        </is>
      </c>
      <c r="C11" s="26" t="n"/>
      <c r="D11" s="11" t="inlineStr">
        <is>
          <t>INDUSTRIAL DIXTEL</t>
        </is>
      </c>
      <c r="E11" s="26" t="n">
        <v>5590</v>
      </c>
    </row>
    <row r="12">
      <c r="A12" s="29" t="inlineStr">
        <is>
          <t>CE 007</t>
        </is>
      </c>
      <c r="B12" s="29" t="inlineStr">
        <is>
          <t>MONCAR</t>
        </is>
      </c>
      <c r="C12" s="25" t="n"/>
      <c r="D12" s="10" t="inlineStr">
        <is>
          <t>INDUSTRIAL ALOÑA</t>
        </is>
      </c>
      <c r="E12" s="25" t="n">
        <v>5530</v>
      </c>
    </row>
    <row r="13">
      <c r="A13" s="30" t="inlineStr">
        <is>
          <t>CE 008</t>
        </is>
      </c>
      <c r="B13" s="30" t="inlineStr">
        <is>
          <t>MONCAR</t>
        </is>
      </c>
      <c r="C13" s="26" t="n"/>
      <c r="D13" s="11" t="inlineStr">
        <is>
          <t>MAQUINA PARA COSER BOLSAS DE COSECHADORA</t>
        </is>
      </c>
      <c r="E13" s="26" t="n">
        <v>3880</v>
      </c>
    </row>
    <row r="14">
      <c r="A14" s="29" t="inlineStr">
        <is>
          <t>CE 021</t>
        </is>
      </c>
      <c r="B14" s="29" t="inlineStr">
        <is>
          <t>MONCAR</t>
        </is>
      </c>
      <c r="C14" s="25" t="n"/>
      <c r="D14" s="10" t="inlineStr">
        <is>
          <t>YELMO-EXTRACHATAS-ULTRACOMB-VARIAS</t>
        </is>
      </c>
      <c r="E14" s="25" t="n">
        <v>5270</v>
      </c>
    </row>
    <row r="15">
      <c r="A15" s="30" t="inlineStr">
        <is>
          <t>CE 022</t>
        </is>
      </c>
      <c r="B15" s="30" t="inlineStr">
        <is>
          <t>MONCAR</t>
        </is>
      </c>
      <c r="C15" s="26" t="n"/>
      <c r="D15" s="11" t="inlineStr">
        <is>
          <t>YELMO-ULTRACOMB-ELECTROLUX</t>
        </is>
      </c>
      <c r="E15" s="26" t="n">
        <v>5270</v>
      </c>
    </row>
    <row r="16">
      <c r="A16" s="29" t="inlineStr">
        <is>
          <t>CE 023</t>
        </is>
      </c>
      <c r="B16" s="29" t="inlineStr">
        <is>
          <t>MONCAR</t>
        </is>
      </c>
      <c r="C16" s="25" t="n"/>
      <c r="D16" s="10" t="inlineStr">
        <is>
          <t>YELMO INTERNACIONAL</t>
        </is>
      </c>
      <c r="E16" s="25" t="n">
        <v>5270</v>
      </c>
    </row>
    <row r="17">
      <c r="A17" s="30" t="inlineStr">
        <is>
          <t>CE 024</t>
        </is>
      </c>
      <c r="B17" s="30" t="inlineStr">
        <is>
          <t>MONCAR</t>
        </is>
      </c>
      <c r="C17" s="26" t="n"/>
      <c r="D17" s="11" t="inlineStr">
        <is>
          <t>VARIAS</t>
        </is>
      </c>
      <c r="E17" s="26" t="n">
        <v>5270</v>
      </c>
    </row>
    <row r="18">
      <c r="A18" s="29" t="inlineStr">
        <is>
          <t>CE 044</t>
        </is>
      </c>
      <c r="B18" s="29" t="inlineStr">
        <is>
          <t>MONCAR</t>
        </is>
      </c>
      <c r="C18" s="25" t="n"/>
      <c r="D18" s="10" t="inlineStr">
        <is>
          <t>BORDEADORA DE CESPED</t>
        </is>
      </c>
      <c r="E18" s="25" t="n">
        <v>2530</v>
      </c>
    </row>
    <row r="19">
      <c r="A19" s="30" t="inlineStr">
        <is>
          <t>CE 045</t>
        </is>
      </c>
      <c r="B19" s="30" t="inlineStr">
        <is>
          <t>MONCAR</t>
        </is>
      </c>
      <c r="C19" s="26" t="n"/>
      <c r="D19" s="11" t="inlineStr">
        <is>
          <t>BORDEADORA DE CESPED</t>
        </is>
      </c>
      <c r="E19" s="26" t="n">
        <v>2780</v>
      </c>
    </row>
    <row r="20">
      <c r="A20" s="29" t="inlineStr">
        <is>
          <t>CE 046</t>
        </is>
      </c>
      <c r="B20" s="29" t="inlineStr">
        <is>
          <t>MONCAR</t>
        </is>
      </c>
      <c r="C20" s="25" t="n"/>
      <c r="D20" s="10" t="inlineStr">
        <is>
          <t>BORDEADORA DE CESPED</t>
        </is>
      </c>
      <c r="E20" s="25" t="n">
        <v>3110</v>
      </c>
    </row>
    <row r="21">
      <c r="A21" s="30" t="inlineStr">
        <is>
          <t>CE 061</t>
        </is>
      </c>
      <c r="B21" s="30" t="inlineStr">
        <is>
          <t>MONCAR</t>
        </is>
      </c>
      <c r="C21" s="26" t="n"/>
      <c r="D21" s="11" t="inlineStr">
        <is>
          <t>YELMO</t>
        </is>
      </c>
      <c r="E21" s="26" t="n">
        <v>2530</v>
      </c>
    </row>
    <row r="22">
      <c r="A22" s="29" t="inlineStr">
        <is>
          <t>CE 062</t>
        </is>
      </c>
      <c r="B22" s="29" t="inlineStr">
        <is>
          <t>MONCAR</t>
        </is>
      </c>
      <c r="C22" s="25" t="n"/>
      <c r="D22" s="10" t="inlineStr">
        <is>
          <t>KENWOOD</t>
        </is>
      </c>
      <c r="E22" s="25" t="n">
        <v>2530</v>
      </c>
    </row>
    <row r="23">
      <c r="A23" s="30" t="inlineStr">
        <is>
          <t>CE 063</t>
        </is>
      </c>
      <c r="B23" s="30" t="inlineStr">
        <is>
          <t>MONCAR</t>
        </is>
      </c>
      <c r="C23" s="26" t="n"/>
      <c r="D23" s="11" t="inlineStr">
        <is>
          <t>VARIETT-ULTRACOMB</t>
        </is>
      </c>
      <c r="E23" s="26" t="n">
        <v>2530</v>
      </c>
    </row>
    <row r="24">
      <c r="A24" s="29" t="inlineStr">
        <is>
          <t>CE 064</t>
        </is>
      </c>
      <c r="B24" s="29" t="inlineStr">
        <is>
          <t>MONCAR</t>
        </is>
      </c>
      <c r="C24" s="25" t="n"/>
      <c r="D24" s="10" t="inlineStr">
        <is>
          <t>MANUAL YELMO</t>
        </is>
      </c>
      <c r="E24" s="25" t="n">
        <v>2530</v>
      </c>
    </row>
    <row r="25">
      <c r="A25" s="30" t="inlineStr">
        <is>
          <t>CE 065</t>
        </is>
      </c>
      <c r="B25" s="30" t="inlineStr">
        <is>
          <t>MONCAR</t>
        </is>
      </c>
      <c r="C25" s="26" t="n"/>
      <c r="D25" s="11" t="inlineStr">
        <is>
          <t>PHILIPS</t>
        </is>
      </c>
      <c r="E25" s="26" t="n">
        <v>2530</v>
      </c>
    </row>
    <row r="26">
      <c r="A26" s="29" t="inlineStr">
        <is>
          <t>CE 066</t>
        </is>
      </c>
      <c r="B26" s="29" t="inlineStr">
        <is>
          <t>MONCAR</t>
        </is>
      </c>
      <c r="C26" s="25" t="n"/>
      <c r="D26" s="10" t="inlineStr">
        <is>
          <t>C/ CUCHILLO BRAUN</t>
        </is>
      </c>
      <c r="E26" s="25" t="n">
        <v>2530</v>
      </c>
    </row>
    <row r="27">
      <c r="A27" s="30" t="inlineStr">
        <is>
          <t>CE 067</t>
        </is>
      </c>
      <c r="B27" s="30" t="inlineStr">
        <is>
          <t>MONCAR</t>
        </is>
      </c>
      <c r="C27" s="26" t="n"/>
      <c r="D27" s="11" t="inlineStr">
        <is>
          <t>MANUAL WEMIR</t>
        </is>
      </c>
      <c r="E27" s="26" t="n">
        <v>2530</v>
      </c>
    </row>
    <row r="28">
      <c r="A28" s="29" t="inlineStr">
        <is>
          <t>CE 068</t>
        </is>
      </c>
      <c r="B28" s="29" t="inlineStr">
        <is>
          <t>MONCAR</t>
        </is>
      </c>
      <c r="C28" s="25" t="n"/>
      <c r="D28" s="10" t="inlineStr">
        <is>
          <t>WEMIR</t>
        </is>
      </c>
      <c r="E28" s="25" t="n">
        <v>3540</v>
      </c>
    </row>
    <row r="29">
      <c r="A29" s="30" t="inlineStr">
        <is>
          <t>CE 069</t>
        </is>
      </c>
      <c r="B29" s="30" t="inlineStr">
        <is>
          <t>MONCAR</t>
        </is>
      </c>
      <c r="C29" s="26" t="n"/>
      <c r="D29" s="11" t="inlineStr">
        <is>
          <t>MANUAL ULTRACOMB</t>
        </is>
      </c>
      <c r="E29" s="26" t="n">
        <v>2530</v>
      </c>
    </row>
    <row r="30">
      <c r="A30" s="29" t="inlineStr">
        <is>
          <t>CE 081</t>
        </is>
      </c>
      <c r="B30" s="29" t="inlineStr">
        <is>
          <t>MONCAR</t>
        </is>
      </c>
      <c r="C30" s="25" t="n"/>
      <c r="D30" s="10" t="inlineStr">
        <is>
          <t>BARRE ALFOMBRA R.S</t>
        </is>
      </c>
      <c r="E30" s="25" t="n">
        <v>2530</v>
      </c>
    </row>
    <row r="31">
      <c r="A31" s="30" t="inlineStr">
        <is>
          <t>CE 082</t>
        </is>
      </c>
      <c r="B31" s="30" t="inlineStr">
        <is>
          <t>MONCAR</t>
        </is>
      </c>
      <c r="C31" s="26" t="n"/>
      <c r="D31" s="11" t="inlineStr">
        <is>
          <t>YELMO</t>
        </is>
      </c>
      <c r="E31" s="26" t="n">
        <v>2660</v>
      </c>
    </row>
    <row r="32">
      <c r="A32" s="29" t="inlineStr">
        <is>
          <t>CE 101</t>
        </is>
      </c>
      <c r="B32" s="29" t="inlineStr">
        <is>
          <t>MONCAR</t>
        </is>
      </c>
      <c r="C32" s="25" t="n"/>
      <c r="D32" s="10" t="inlineStr">
        <is>
          <t>MOULINEX (CON RANURA)</t>
        </is>
      </c>
      <c r="E32" s="25" t="n">
        <v>2660</v>
      </c>
    </row>
    <row r="33">
      <c r="A33" s="30" t="inlineStr">
        <is>
          <t>CE 121</t>
        </is>
      </c>
      <c r="B33" s="30" t="inlineStr">
        <is>
          <t>MONCAR</t>
        </is>
      </c>
      <c r="C33" s="26" t="n"/>
      <c r="D33" s="11" t="inlineStr">
        <is>
          <t>ELECTRICO ULTRACOMB</t>
        </is>
      </c>
      <c r="E33" s="26" t="n">
        <v>2660</v>
      </c>
    </row>
    <row r="34">
      <c r="A34" s="29" t="inlineStr">
        <is>
          <t>CE 141</t>
        </is>
      </c>
      <c r="B34" s="29" t="inlineStr">
        <is>
          <t>MONCAR</t>
        </is>
      </c>
      <c r="C34" s="25" t="n"/>
      <c r="D34" s="10" t="inlineStr">
        <is>
          <t>PHILIPS</t>
        </is>
      </c>
      <c r="E34" s="25" t="n">
        <v>2660</v>
      </c>
    </row>
    <row r="35">
      <c r="A35" s="30" t="inlineStr">
        <is>
          <t>CE 142</t>
        </is>
      </c>
      <c r="B35" s="30" t="inlineStr">
        <is>
          <t>MONCAR</t>
        </is>
      </c>
      <c r="C35" s="26" t="n"/>
      <c r="D35" s="11" t="inlineStr">
        <is>
          <t>SUMBEAN</t>
        </is>
      </c>
      <c r="E35" s="26" t="n">
        <v>2660</v>
      </c>
    </row>
    <row r="36">
      <c r="A36" s="29" t="inlineStr">
        <is>
          <t>CE 161</t>
        </is>
      </c>
      <c r="B36" s="29" t="inlineStr">
        <is>
          <t>MONCAR</t>
        </is>
      </c>
      <c r="C36" s="25" t="n"/>
      <c r="D36" s="10" t="inlineStr">
        <is>
          <t>AURORA</t>
        </is>
      </c>
      <c r="E36" s="25" t="n">
        <v>6910</v>
      </c>
    </row>
    <row r="37">
      <c r="A37" s="30" t="inlineStr">
        <is>
          <t>CE 162</t>
        </is>
      </c>
      <c r="B37" s="30" t="inlineStr">
        <is>
          <t>MONCAR</t>
        </is>
      </c>
      <c r="C37" s="26" t="n"/>
      <c r="D37" s="11" t="inlineStr">
        <is>
          <t>AURORA</t>
        </is>
      </c>
      <c r="E37" s="26" t="n">
        <v>6910</v>
      </c>
    </row>
    <row r="38">
      <c r="A38" s="29" t="inlineStr">
        <is>
          <t>CE 181</t>
        </is>
      </c>
      <c r="B38" s="29" t="inlineStr">
        <is>
          <t>MONCAR</t>
        </is>
      </c>
      <c r="C38" s="25" t="n"/>
      <c r="D38" s="10" t="inlineStr">
        <is>
          <t>LAZO COMUN (SIERRA CARNICERO)</t>
        </is>
      </c>
      <c r="E38" s="25" t="n">
        <v>10290</v>
      </c>
    </row>
    <row r="39">
      <c r="A39" s="30" t="inlineStr">
        <is>
          <t>CE 182</t>
        </is>
      </c>
      <c r="B39" s="30" t="inlineStr">
        <is>
          <t>MONCAR</t>
        </is>
      </c>
      <c r="C39" s="26" t="n"/>
      <c r="D39" s="11" t="inlineStr">
        <is>
          <t>LAZO ASINCRON HACHITA</t>
        </is>
      </c>
      <c r="E39" s="26" t="n">
        <v>10290</v>
      </c>
    </row>
    <row r="40">
      <c r="A40" s="29" t="inlineStr">
        <is>
          <t>CE 183</t>
        </is>
      </c>
      <c r="B40" s="29" t="inlineStr">
        <is>
          <t>MONCAR</t>
        </is>
      </c>
      <c r="C40" s="25" t="n"/>
      <c r="D40" s="10" t="inlineStr">
        <is>
          <t>LAZO ASINCRON LECHUZA</t>
        </is>
      </c>
      <c r="E40" s="25" t="n">
        <v>10290</v>
      </c>
    </row>
    <row r="41">
      <c r="A41" s="30" t="inlineStr">
        <is>
          <t>CE 201</t>
        </is>
      </c>
      <c r="B41" s="30" t="inlineStr">
        <is>
          <t>MONCAR</t>
        </is>
      </c>
      <c r="C41" s="26" t="n"/>
      <c r="D41" s="11" t="inlineStr">
        <is>
          <t>JUMBO</t>
        </is>
      </c>
      <c r="E41" s="26" t="n">
        <v>2530</v>
      </c>
    </row>
    <row r="42">
      <c r="A42" s="29" t="inlineStr">
        <is>
          <t>CE 221</t>
        </is>
      </c>
      <c r="B42" s="29" t="inlineStr">
        <is>
          <t>MONCAR</t>
        </is>
      </c>
      <c r="C42" s="25" t="n"/>
      <c r="D42" s="10" t="inlineStr">
        <is>
          <t>SINGER FAMILIAR</t>
        </is>
      </c>
      <c r="E42" s="25" t="n">
        <v>2530</v>
      </c>
    </row>
    <row r="43">
      <c r="A43" s="30" t="inlineStr">
        <is>
          <t>CE 222</t>
        </is>
      </c>
      <c r="B43" s="30" t="inlineStr">
        <is>
          <t>MONCAR</t>
        </is>
      </c>
      <c r="C43" s="26" t="n"/>
      <c r="D43" s="11" t="inlineStr">
        <is>
          <t>CON MOTOR MOTORMECH</t>
        </is>
      </c>
      <c r="E43" s="26" t="n">
        <v>2530</v>
      </c>
    </row>
    <row r="44">
      <c r="A44" s="29" t="inlineStr">
        <is>
          <t>CE 223</t>
        </is>
      </c>
      <c r="B44" s="29" t="inlineStr">
        <is>
          <t>MONCAR</t>
        </is>
      </c>
      <c r="C44" s="25" t="n"/>
      <c r="D44" s="10" t="inlineStr">
        <is>
          <t>NECCHI</t>
        </is>
      </c>
      <c r="E44" s="25" t="n">
        <v>2530</v>
      </c>
    </row>
    <row r="45">
      <c r="A45" s="30" t="inlineStr">
        <is>
          <t>CE 224</t>
        </is>
      </c>
      <c r="B45" s="30" t="inlineStr">
        <is>
          <t>MONCAR</t>
        </is>
      </c>
      <c r="C45" s="26" t="n"/>
      <c r="D45" s="11" t="inlineStr">
        <is>
          <t>CON MOTOR M.A.G. (NUEVA)</t>
        </is>
      </c>
      <c r="E45" s="26" t="n">
        <v>2530</v>
      </c>
    </row>
    <row r="46">
      <c r="A46" s="29" t="inlineStr">
        <is>
          <t>CE 225</t>
        </is>
      </c>
      <c r="B46" s="29" t="inlineStr">
        <is>
          <t>MONCAR</t>
        </is>
      </c>
      <c r="C46" s="25" t="n"/>
      <c r="D46" s="10" t="inlineStr">
        <is>
          <t>VARIOS</t>
        </is>
      </c>
      <c r="E46" s="25" t="n">
        <v>2530</v>
      </c>
    </row>
    <row r="47">
      <c r="A47" s="30" t="inlineStr">
        <is>
          <t>CE 226</t>
        </is>
      </c>
      <c r="B47" s="30" t="inlineStr">
        <is>
          <t>MONCAR</t>
        </is>
      </c>
      <c r="C47" s="26" t="n"/>
      <c r="D47" s="11" t="inlineStr">
        <is>
          <t>VARIOS</t>
        </is>
      </c>
      <c r="E47" s="26" t="n">
        <v>2530</v>
      </c>
    </row>
    <row r="48">
      <c r="A48" s="29" t="inlineStr">
        <is>
          <t>CE 227</t>
        </is>
      </c>
      <c r="B48" s="29" t="inlineStr">
        <is>
          <t>MONCAR</t>
        </is>
      </c>
      <c r="C48" s="25" t="n"/>
      <c r="D48" s="10" t="inlineStr">
        <is>
          <t>MAQUINA DE COSER - M.A.G.</t>
        </is>
      </c>
      <c r="E48" s="25" t="n">
        <v>2530</v>
      </c>
    </row>
    <row r="49">
      <c r="A49" s="30" t="inlineStr">
        <is>
          <t>CE 228</t>
        </is>
      </c>
      <c r="B49" s="30" t="inlineStr">
        <is>
          <t>MONCAR</t>
        </is>
      </c>
      <c r="C49" s="26" t="n"/>
      <c r="D49" s="11" t="inlineStr">
        <is>
          <t>INDUSTRIAL SINGER</t>
        </is>
      </c>
      <c r="E49" s="26" t="n">
        <v>2530</v>
      </c>
    </row>
    <row r="50">
      <c r="A50" s="29" t="inlineStr">
        <is>
          <t>CE 261</t>
        </is>
      </c>
      <c r="B50" s="29" t="inlineStr">
        <is>
          <t>MONCAR</t>
        </is>
      </c>
      <c r="C50" s="25" t="n"/>
      <c r="D50" s="10" t="inlineStr">
        <is>
          <t>VARIOS</t>
        </is>
      </c>
      <c r="E50" s="25" t="n">
        <v>2780</v>
      </c>
    </row>
    <row r="51">
      <c r="A51" s="30" t="inlineStr">
        <is>
          <t>CE 262</t>
        </is>
      </c>
      <c r="B51" s="30" t="inlineStr">
        <is>
          <t>MONCAR</t>
        </is>
      </c>
      <c r="C51" s="26" t="n"/>
      <c r="D51" s="11" t="inlineStr">
        <is>
          <t>VARIOS</t>
        </is>
      </c>
      <c r="E51" s="26" t="n">
        <v>2780</v>
      </c>
    </row>
    <row r="52">
      <c r="A52" s="29" t="inlineStr">
        <is>
          <t>CE 263</t>
        </is>
      </c>
      <c r="B52" s="29" t="inlineStr">
        <is>
          <t>MONCAR</t>
        </is>
      </c>
      <c r="C52" s="25" t="n"/>
      <c r="D52" s="10" t="inlineStr">
        <is>
          <t>VARIOS</t>
        </is>
      </c>
      <c r="E52" s="25" t="n">
        <v>2780</v>
      </c>
    </row>
    <row r="53">
      <c r="A53" s="30" t="inlineStr">
        <is>
          <t>CE 264</t>
        </is>
      </c>
      <c r="B53" s="30" t="inlineStr">
        <is>
          <t>MONCAR</t>
        </is>
      </c>
      <c r="C53" s="26" t="n"/>
      <c r="D53" s="11" t="inlineStr">
        <is>
          <t>VARIOS</t>
        </is>
      </c>
      <c r="E53" s="26" t="n">
        <v>2780</v>
      </c>
    </row>
    <row r="54">
      <c r="A54" s="29" t="inlineStr">
        <is>
          <t>CE 281</t>
        </is>
      </c>
      <c r="B54" s="29" t="inlineStr">
        <is>
          <t>MONCAR</t>
        </is>
      </c>
      <c r="C54" s="25" t="n"/>
      <c r="D54" s="10" t="inlineStr">
        <is>
          <t>PHILIPS</t>
        </is>
      </c>
      <c r="E54" s="25" t="n">
        <v>2780</v>
      </c>
    </row>
    <row r="55">
      <c r="A55" s="30" t="inlineStr">
        <is>
          <t>CE 301</t>
        </is>
      </c>
      <c r="B55" s="30" t="inlineStr">
        <is>
          <t>MONCAR</t>
        </is>
      </c>
      <c r="C55" s="26" t="n"/>
      <c r="D55" s="11" t="inlineStr">
        <is>
          <t>KENWOOD CHEFF</t>
        </is>
      </c>
      <c r="E55" s="26" t="n">
        <v>2780</v>
      </c>
    </row>
    <row r="56">
      <c r="A56" s="29" t="inlineStr">
        <is>
          <t>CE 302</t>
        </is>
      </c>
      <c r="B56" s="29" t="inlineStr">
        <is>
          <t>MONCAR</t>
        </is>
      </c>
      <c r="C56" s="25" t="n"/>
      <c r="D56" s="10" t="inlineStr">
        <is>
          <t>WHIRLPOOL Y OTROS</t>
        </is>
      </c>
      <c r="E56" s="25" t="n">
        <v>4280</v>
      </c>
    </row>
    <row r="57">
      <c r="A57" s="30" t="inlineStr">
        <is>
          <t>CE 303</t>
        </is>
      </c>
      <c r="B57" s="30" t="inlineStr">
        <is>
          <t>MONCAR</t>
        </is>
      </c>
      <c r="C57" s="26" t="n"/>
      <c r="D57" s="11" t="inlineStr">
        <is>
          <t>WHIRLPOOL Y OTROS</t>
        </is>
      </c>
      <c r="E57" s="26" t="n">
        <v>4800</v>
      </c>
    </row>
    <row r="58">
      <c r="A58" s="29" t="inlineStr">
        <is>
          <t>CE 304</t>
        </is>
      </c>
      <c r="B58" s="29" t="inlineStr">
        <is>
          <t>MONCAR</t>
        </is>
      </c>
      <c r="C58" s="25" t="n"/>
      <c r="D58" s="10" t="inlineStr">
        <is>
          <t>WHIRLPOOL Y OTROS</t>
        </is>
      </c>
      <c r="E58" s="25" t="n">
        <v>4800</v>
      </c>
    </row>
    <row r="59">
      <c r="A59" s="30" t="inlineStr">
        <is>
          <t>CE 307</t>
        </is>
      </c>
      <c r="B59" s="30" t="inlineStr">
        <is>
          <t>MONCAR</t>
        </is>
      </c>
      <c r="C59" s="26" t="n"/>
      <c r="D59" s="11" t="inlineStr">
        <is>
          <t>HIDRO. GAMA G2513/2514 HIDRO B&amp;D</t>
        </is>
      </c>
      <c r="E59" s="26" t="n">
        <v>7380</v>
      </c>
    </row>
    <row r="60">
      <c r="A60" s="29" t="inlineStr">
        <is>
          <t>CE 308</t>
        </is>
      </c>
      <c r="B60" s="29" t="inlineStr">
        <is>
          <t>MONCAR</t>
        </is>
      </c>
      <c r="C60" s="25" t="n"/>
      <c r="D60" s="10" t="inlineStr">
        <is>
          <t>HIDROLAVADORA CHICA</t>
        </is>
      </c>
      <c r="E60" s="25" t="n">
        <v>7260</v>
      </c>
    </row>
    <row r="61">
      <c r="A61" s="30" t="inlineStr">
        <is>
          <t>CE 309</t>
        </is>
      </c>
      <c r="B61" s="30" t="inlineStr">
        <is>
          <t>MONCAR</t>
        </is>
      </c>
      <c r="C61" s="26" t="n"/>
      <c r="D61" s="11" t="inlineStr">
        <is>
          <t>HIDROLAVADORA</t>
        </is>
      </c>
      <c r="E61" s="26" t="n">
        <v>6120</v>
      </c>
    </row>
    <row r="62">
      <c r="A62" s="29" t="inlineStr">
        <is>
          <t>CF 001</t>
        </is>
      </c>
      <c r="B62" s="29" t="inlineStr">
        <is>
          <t>MONCAR</t>
        </is>
      </c>
      <c r="C62" s="25" t="inlineStr">
        <is>
          <t>DOWEN PAGGIO</t>
        </is>
      </c>
      <c r="D62" s="10" t="inlineStr">
        <is>
          <t>LIJADORAS - PULIDORAS LIXA</t>
        </is>
      </c>
      <c r="E62" s="25" t="n">
        <v>3760</v>
      </c>
    </row>
    <row r="63">
      <c r="A63" s="30" t="inlineStr">
        <is>
          <t>CF 002</t>
        </is>
      </c>
      <c r="B63" s="30" t="inlineStr">
        <is>
          <t>MONCAR</t>
        </is>
      </c>
      <c r="C63" s="26" t="inlineStr">
        <is>
          <t>DOWEN PAGGIO</t>
        </is>
      </c>
      <c r="D63" s="11" t="inlineStr">
        <is>
          <t>TALADROS MARK- NIG- NTX- LO- LV</t>
        </is>
      </c>
      <c r="E63" s="26" t="n">
        <v>3540</v>
      </c>
    </row>
    <row r="64">
      <c r="A64" s="29" t="inlineStr">
        <is>
          <t>CF 003</t>
        </is>
      </c>
      <c r="B64" s="29" t="inlineStr">
        <is>
          <t>MONCAR</t>
        </is>
      </c>
      <c r="C64" s="25" t="inlineStr">
        <is>
          <t>DOWEN PAGGIO</t>
        </is>
      </c>
      <c r="D64" s="10" t="inlineStr">
        <is>
          <t>TALADROS MINI 8 Y 10- N 210/ 213/ 210 E/ 213 E/ 213 B</t>
        </is>
      </c>
      <c r="E64" s="25" t="n">
        <v>2780</v>
      </c>
    </row>
    <row r="65">
      <c r="A65" s="30" t="inlineStr">
        <is>
          <t>CF 004</t>
        </is>
      </c>
      <c r="B65" s="30" t="inlineStr">
        <is>
          <t>MONCAR</t>
        </is>
      </c>
      <c r="C65" s="26" t="inlineStr">
        <is>
          <t>DOWEN PAGGIO</t>
        </is>
      </c>
      <c r="D65" s="11" t="inlineStr">
        <is>
          <t>RR</t>
        </is>
      </c>
      <c r="E65" s="26" t="n">
        <v>3760</v>
      </c>
    </row>
    <row r="66">
      <c r="A66" s="29" t="inlineStr">
        <is>
          <t>CF 005</t>
        </is>
      </c>
      <c r="B66" s="29" t="inlineStr">
        <is>
          <t>MONCAR</t>
        </is>
      </c>
      <c r="C66" s="25" t="inlineStr">
        <is>
          <t>DOWEN PAGGIO</t>
        </is>
      </c>
      <c r="D66" s="10" t="inlineStr">
        <is>
          <t>AMOL. 7"- MOD. AL 180</t>
        </is>
      </c>
      <c r="E66" s="25" t="n">
        <v>5590</v>
      </c>
    </row>
    <row r="67">
      <c r="A67" s="30" t="inlineStr">
        <is>
          <t>CF 009</t>
        </is>
      </c>
      <c r="B67" s="30" t="inlineStr">
        <is>
          <t>MONCAR</t>
        </is>
      </c>
      <c r="C67" s="26" t="inlineStr">
        <is>
          <t>BLACK Y DECKER</t>
        </is>
      </c>
      <c r="D67" s="11" t="inlineStr">
        <is>
          <t>LINEA 700- TALADROS- CAL 2301/ 2303 LIJADORA/ TAL. VARIOS</t>
        </is>
      </c>
      <c r="E67" s="26" t="n">
        <v>2530</v>
      </c>
    </row>
    <row r="68">
      <c r="A68" s="29" t="inlineStr">
        <is>
          <t>CF 010</t>
        </is>
      </c>
      <c r="B68" s="29" t="inlineStr">
        <is>
          <t>MONCAR</t>
        </is>
      </c>
      <c r="C68" s="25" t="inlineStr">
        <is>
          <t>BLACK Y DECKER</t>
        </is>
      </c>
      <c r="D68" s="10" t="inlineStr">
        <is>
          <t>TALADROS LINEA AR</t>
        </is>
      </c>
      <c r="E68" s="25" t="n">
        <v>3280</v>
      </c>
    </row>
    <row r="69">
      <c r="A69" s="30" t="inlineStr">
        <is>
          <t>CF 011</t>
        </is>
      </c>
      <c r="B69" s="30" t="inlineStr">
        <is>
          <t>MONCAR</t>
        </is>
      </c>
      <c r="C69" s="26" t="inlineStr">
        <is>
          <t>BLACK Y DECKER</t>
        </is>
      </c>
      <c r="D69" s="11" t="inlineStr">
        <is>
          <t>AMOL. 4 1/2 "- SAG 500- CALADORA M 531</t>
        </is>
      </c>
      <c r="E69" s="26" t="n">
        <v>3280</v>
      </c>
    </row>
    <row r="70">
      <c r="A70" s="29" t="inlineStr">
        <is>
          <t>CF 012</t>
        </is>
      </c>
      <c r="B70" s="29" t="inlineStr">
        <is>
          <t>MONCAR</t>
        </is>
      </c>
      <c r="C70" s="25" t="inlineStr">
        <is>
          <t>BLACK Y DECKER</t>
        </is>
      </c>
      <c r="D70" s="10" t="inlineStr">
        <is>
          <t>KG 11/ KG75 (CON AVISO DE DESGASTE)</t>
        </is>
      </c>
      <c r="E70" s="25" t="n">
        <v>3380</v>
      </c>
    </row>
    <row r="71">
      <c r="A71" s="30" t="inlineStr">
        <is>
          <t>CF 013</t>
        </is>
      </c>
      <c r="B71" s="30" t="inlineStr">
        <is>
          <t>MONCAR</t>
        </is>
      </c>
      <c r="C71" s="26" t="inlineStr">
        <is>
          <t>BLACK Y DECKER</t>
        </is>
      </c>
      <c r="D71" s="11" t="inlineStr">
        <is>
          <t>SIERRA CIRCULAR DE 7 1/4 " Y 9"</t>
        </is>
      </c>
      <c r="E71" s="26" t="n">
        <v>2200</v>
      </c>
    </row>
    <row r="72">
      <c r="A72" s="29" t="inlineStr">
        <is>
          <t>CF 014</t>
        </is>
      </c>
      <c r="B72" s="29" t="inlineStr">
        <is>
          <t>MONCAR</t>
        </is>
      </c>
      <c r="C72" s="25" t="inlineStr">
        <is>
          <t>BLACK Y DECKER</t>
        </is>
      </c>
      <c r="D72" s="10" t="inlineStr">
        <is>
          <t>AMOLADORAS SMEA DE 7 " Y 9"</t>
        </is>
      </c>
      <c r="E72" s="25" t="n">
        <v>5500</v>
      </c>
    </row>
    <row r="73">
      <c r="A73" s="30" t="inlineStr">
        <is>
          <t>CF 015</t>
        </is>
      </c>
      <c r="B73" s="30" t="inlineStr">
        <is>
          <t>MONCAR</t>
        </is>
      </c>
      <c r="C73" s="26" t="inlineStr">
        <is>
          <t>BLACK Y DECKER</t>
        </is>
      </c>
      <c r="D73" s="11" t="inlineStr">
        <is>
          <t>AMOLADORA AG/C- AMOL. 7" HD 2180- AMOL. 9" HD 2230</t>
        </is>
      </c>
      <c r="E73" s="26" t="n">
        <v>5590</v>
      </c>
    </row>
    <row r="74">
      <c r="A74" s="29" t="inlineStr">
        <is>
          <t>CF 016</t>
        </is>
      </c>
      <c r="B74" s="29" t="inlineStr">
        <is>
          <t>MONCAR</t>
        </is>
      </c>
      <c r="C74" s="25" t="inlineStr">
        <is>
          <t>BOSCH</t>
        </is>
      </c>
      <c r="D74" s="10" t="inlineStr">
        <is>
          <t>AMOLADORAS 7" Y 9" - MOD. 1321/ 2 - 1331/ 2 CON AVISO DE DESGASTE</t>
        </is>
      </c>
      <c r="E74" s="25" t="n">
        <v>5640</v>
      </c>
    </row>
    <row r="75">
      <c r="A75" s="30" t="inlineStr">
        <is>
          <t>CF 017</t>
        </is>
      </c>
      <c r="B75" s="30" t="inlineStr">
        <is>
          <t>MONCAR</t>
        </is>
      </c>
      <c r="C75" s="26" t="inlineStr">
        <is>
          <t>BOSCH</t>
        </is>
      </c>
      <c r="D75" s="11" t="inlineStr">
        <is>
          <t>AMOL 41/2¨ GWS 6-115/GWS 7-115/GWS 7-115ET/GWS 8-115 (CON AVISO DE DESGASTE)</t>
        </is>
      </c>
      <c r="E75" s="26" t="n">
        <v>3760</v>
      </c>
    </row>
    <row r="76">
      <c r="A76" s="29" t="inlineStr">
        <is>
          <t>CF 018</t>
        </is>
      </c>
      <c r="B76" s="29" t="inlineStr">
        <is>
          <t>MONCAR</t>
        </is>
      </c>
      <c r="C76" s="25" t="inlineStr">
        <is>
          <t>BOSCH</t>
        </is>
      </c>
      <c r="D76" s="10" t="inlineStr">
        <is>
          <t>AMOL. DE 7" Y 9"- MOD. ALEMAN 1307/ 1309</t>
        </is>
      </c>
      <c r="E76" s="25" t="n">
        <v>4800</v>
      </c>
    </row>
    <row r="77">
      <c r="A77" s="30" t="inlineStr">
        <is>
          <t>CF 019</t>
        </is>
      </c>
      <c r="B77" s="30" t="inlineStr">
        <is>
          <t>MONCAR</t>
        </is>
      </c>
      <c r="C77" s="26" t="inlineStr">
        <is>
          <t>BOSCH</t>
        </is>
      </c>
      <c r="D77" s="11" t="inlineStr">
        <is>
          <t>TALADROS MOD. 1106/ 350/ GBM 10/ 13 RB/ 1163/ 1171/ 1184/ 11226</t>
        </is>
      </c>
      <c r="E77" s="26" t="n">
        <v>3540</v>
      </c>
    </row>
    <row r="78">
      <c r="A78" s="29" t="inlineStr">
        <is>
          <t>CF 020</t>
        </is>
      </c>
      <c r="B78" s="29" t="inlineStr">
        <is>
          <t>MONCAR</t>
        </is>
      </c>
      <c r="C78" s="25" t="inlineStr">
        <is>
          <t>BOSCH</t>
        </is>
      </c>
      <c r="D78" s="10" t="inlineStr">
        <is>
          <t>AMOL. 7 y 9" GWS 22-10/22-230/GWS 24-180/24-230/GWS 26-180(CON AVISO)</t>
        </is>
      </c>
      <c r="E78" s="25" t="n">
        <v>5640</v>
      </c>
    </row>
    <row r="79">
      <c r="A79" s="30" t="inlineStr">
        <is>
          <t>CF 021</t>
        </is>
      </c>
      <c r="B79" s="30" t="inlineStr">
        <is>
          <t>MONCAR</t>
        </is>
      </c>
      <c r="C79" s="26" t="inlineStr">
        <is>
          <t>BOSCH</t>
        </is>
      </c>
      <c r="D79" s="11" t="inlineStr">
        <is>
          <t>TAL. PER. 13- MOD. 3161/ 3238/ 1169 CAL. PST 54 PE</t>
        </is>
      </c>
      <c r="E79" s="26" t="n">
        <v>3280</v>
      </c>
    </row>
    <row r="80">
      <c r="A80" s="29" t="inlineStr">
        <is>
          <t>CF 022</t>
        </is>
      </c>
      <c r="B80" s="29" t="inlineStr">
        <is>
          <t>MONCAR</t>
        </is>
      </c>
      <c r="C80" s="25" t="inlineStr">
        <is>
          <t>BOSCH</t>
        </is>
      </c>
      <c r="D80" s="10" t="inlineStr">
        <is>
          <t>MARTILLO MODELO 11205 CON AVISO</t>
        </is>
      </c>
      <c r="E80" s="25" t="n">
        <v>3540</v>
      </c>
    </row>
    <row r="81">
      <c r="A81" s="30" t="inlineStr">
        <is>
          <t>CF 023</t>
        </is>
      </c>
      <c r="B81" s="30" t="inlineStr">
        <is>
          <t>MONCAR</t>
        </is>
      </c>
      <c r="C81" s="26" t="inlineStr">
        <is>
          <t>BOSCH</t>
        </is>
      </c>
      <c r="D81" s="11" t="inlineStr">
        <is>
          <t>CON AVISO DE DESGASTE</t>
        </is>
      </c>
      <c r="E81" s="26" t="n">
        <v>4550</v>
      </c>
    </row>
    <row r="82">
      <c r="A82" s="29" t="inlineStr">
        <is>
          <t>CF 024</t>
        </is>
      </c>
      <c r="B82" s="29" t="inlineStr">
        <is>
          <t>MONCAR</t>
        </is>
      </c>
      <c r="C82" s="25" t="inlineStr">
        <is>
          <t>BOSCH</t>
        </is>
      </c>
      <c r="D82" s="10" t="inlineStr">
        <is>
          <t>AMOL. DE 4 1/2" - MOD. 1327</t>
        </is>
      </c>
      <c r="E82" s="25" t="n">
        <v>3280</v>
      </c>
    </row>
    <row r="83">
      <c r="A83" s="30" t="inlineStr">
        <is>
          <t>CF 025</t>
        </is>
      </c>
      <c r="B83" s="30" t="inlineStr">
        <is>
          <t>MONCAR</t>
        </is>
      </c>
      <c r="C83" s="26" t="inlineStr">
        <is>
          <t>BOSCH</t>
        </is>
      </c>
      <c r="D83" s="11" t="inlineStr">
        <is>
          <t>TALADRO ROTOPERCUTOR MOD. 0173/ 1111</t>
        </is>
      </c>
      <c r="E83" s="26" t="n">
        <v>3280</v>
      </c>
    </row>
    <row r="84">
      <c r="A84" s="29" t="inlineStr">
        <is>
          <t>CF 027</t>
        </is>
      </c>
      <c r="B84" s="29" t="inlineStr">
        <is>
          <t>MONCAR</t>
        </is>
      </c>
      <c r="C84" s="25" t="inlineStr">
        <is>
          <t>DOVER</t>
        </is>
      </c>
      <c r="D84" s="10" t="inlineStr">
        <is>
          <t>LIJADORA- PULIDORA</t>
        </is>
      </c>
      <c r="E84" s="25" t="n">
        <v>5010</v>
      </c>
    </row>
    <row r="85">
      <c r="A85" s="30" t="inlineStr">
        <is>
          <t>CF 028</t>
        </is>
      </c>
      <c r="B85" s="30" t="inlineStr">
        <is>
          <t>MONCAR</t>
        </is>
      </c>
      <c r="C85" s="26" t="inlineStr">
        <is>
          <t>DOVER</t>
        </is>
      </c>
      <c r="D85" s="11" t="inlineStr">
        <is>
          <t>AMOLADORA DE 7 Y 9- LINEA 80</t>
        </is>
      </c>
      <c r="E85" s="26" t="n">
        <v>5590</v>
      </c>
    </row>
    <row r="86">
      <c r="A86" s="29" t="inlineStr">
        <is>
          <t>CF 029</t>
        </is>
      </c>
      <c r="B86" s="29" t="inlineStr">
        <is>
          <t>MONCAR</t>
        </is>
      </c>
      <c r="C86" s="25" t="inlineStr">
        <is>
          <t>DOVER</t>
        </is>
      </c>
      <c r="D86" s="10" t="inlineStr">
        <is>
          <t>AMOLADORA DE 7 Y 9- LINEA 90</t>
        </is>
      </c>
      <c r="E86" s="25" t="n">
        <v>5180</v>
      </c>
    </row>
    <row r="87">
      <c r="A87" s="30" t="inlineStr">
        <is>
          <t>CF 030</t>
        </is>
      </c>
      <c r="B87" s="30" t="inlineStr">
        <is>
          <t>MONCAR</t>
        </is>
      </c>
      <c r="C87" s="26" t="inlineStr">
        <is>
          <t>DOVER</t>
        </is>
      </c>
      <c r="D87" s="11" t="inlineStr">
        <is>
          <t>AMOLADORA DE 4 (MODELO VIEJO)</t>
        </is>
      </c>
      <c r="E87" s="26" t="n">
        <v>2530</v>
      </c>
    </row>
    <row r="88">
      <c r="A88" s="29" t="inlineStr">
        <is>
          <t>CF 031</t>
        </is>
      </c>
      <c r="B88" s="29" t="inlineStr">
        <is>
          <t>MONCAR</t>
        </is>
      </c>
      <c r="C88" s="25" t="inlineStr">
        <is>
          <t>DOVER</t>
        </is>
      </c>
      <c r="D88" s="10" t="inlineStr">
        <is>
          <t>AMOLADORA DE 4 (MODELO NUEVO)</t>
        </is>
      </c>
      <c r="E88" s="25" t="n">
        <v>3280</v>
      </c>
    </row>
    <row r="89">
      <c r="A89" s="30" t="inlineStr">
        <is>
          <t>CF 033</t>
        </is>
      </c>
      <c r="B89" s="30" t="inlineStr">
        <is>
          <t>MONCAR</t>
        </is>
      </c>
      <c r="C89" s="26" t="inlineStr">
        <is>
          <t>DREMEL</t>
        </is>
      </c>
      <c r="D89" s="11" t="inlineStr">
        <is>
          <t>MINITORNO</t>
        </is>
      </c>
      <c r="E89" s="26" t="n">
        <v>4240</v>
      </c>
    </row>
    <row r="90">
      <c r="A90" s="29" t="inlineStr">
        <is>
          <t>CF 034</t>
        </is>
      </c>
      <c r="B90" s="29" t="inlineStr">
        <is>
          <t>MONCAR</t>
        </is>
      </c>
      <c r="C90" s="25" t="inlineStr">
        <is>
          <t>DRILL - MET</t>
        </is>
      </c>
      <c r="D90" s="10" t="inlineStr">
        <is>
          <t>MINI DRIL</t>
        </is>
      </c>
      <c r="E90" s="25" t="n">
        <v>4240</v>
      </c>
    </row>
    <row r="91">
      <c r="A91" s="30" t="inlineStr">
        <is>
          <t>CF 035</t>
        </is>
      </c>
      <c r="B91" s="30" t="inlineStr">
        <is>
          <t>MONCAR</t>
        </is>
      </c>
      <c r="C91" s="26" t="inlineStr">
        <is>
          <t>DRILL - MET</t>
        </is>
      </c>
      <c r="D91" s="11" t="inlineStr">
        <is>
          <t>TORNO 1/4"</t>
        </is>
      </c>
      <c r="E91" s="26" t="n">
        <v>4240</v>
      </c>
    </row>
    <row r="92">
      <c r="A92" s="29" t="inlineStr">
        <is>
          <t>CF 036</t>
        </is>
      </c>
      <c r="B92" s="29" t="inlineStr">
        <is>
          <t>MONCAR</t>
        </is>
      </c>
      <c r="C92" s="25" t="inlineStr">
        <is>
          <t>DRILL - MET</t>
        </is>
      </c>
      <c r="D92" s="10" t="inlineStr">
        <is>
          <t>TORNO 1/8"</t>
        </is>
      </c>
      <c r="E92" s="25" t="n">
        <v>4240</v>
      </c>
    </row>
    <row r="93">
      <c r="A93" s="30" t="inlineStr">
        <is>
          <t>CF 040</t>
        </is>
      </c>
      <c r="B93" s="30" t="inlineStr">
        <is>
          <t>MONCAR</t>
        </is>
      </c>
      <c r="C93" s="26" t="inlineStr">
        <is>
          <t>HITACHI</t>
        </is>
      </c>
      <c r="D93" s="11" t="inlineStr">
        <is>
          <t>PDM 180/230- PDU 180/230- DPU 180/230-PDH 180- PSU 7/8/9- PSP 9- CC 16</t>
        </is>
      </c>
      <c r="E93" s="26" t="n">
        <v>5420</v>
      </c>
    </row>
    <row r="94">
      <c r="A94" s="29" t="inlineStr">
        <is>
          <t>CF 041</t>
        </is>
      </c>
      <c r="B94" s="29" t="inlineStr">
        <is>
          <t>MONCAR</t>
        </is>
      </c>
      <c r="C94" s="25" t="inlineStr">
        <is>
          <t>HITACHI</t>
        </is>
      </c>
      <c r="D94" s="10" t="inlineStr">
        <is>
          <t>PDM 115.PDP 115-PDS 115- F 20- F 20 A- JH 60- JHV 60. JH 560</t>
        </is>
      </c>
      <c r="E94" s="25" t="n">
        <v>2780</v>
      </c>
    </row>
    <row r="95">
      <c r="A95" s="30" t="inlineStr">
        <is>
          <t>CF 042</t>
        </is>
      </c>
      <c r="B95" s="30" t="inlineStr">
        <is>
          <t>MONCAR</t>
        </is>
      </c>
      <c r="C95" s="26" t="inlineStr">
        <is>
          <t>HITACHI</t>
        </is>
      </c>
      <c r="D95" s="11" t="inlineStr">
        <is>
          <t>SAT 180- F 30 A-SB 75- PSU 6- PS 7 B-TR 8- PR 25 B- PR 38 B</t>
        </is>
      </c>
      <c r="E95" s="26" t="n">
        <v>5530</v>
      </c>
    </row>
    <row r="96">
      <c r="A96" s="29" t="inlineStr">
        <is>
          <t>CF 043</t>
        </is>
      </c>
      <c r="B96" s="29" t="inlineStr">
        <is>
          <t>MONCAR</t>
        </is>
      </c>
      <c r="C96" s="25" t="inlineStr">
        <is>
          <t>HITACHI</t>
        </is>
      </c>
      <c r="D96" s="10" t="inlineStr">
        <is>
          <t>FFE 20- FH 35- FSO 93</t>
        </is>
      </c>
      <c r="E96" s="25" t="n">
        <v>3280</v>
      </c>
    </row>
    <row r="97">
      <c r="A97" s="30" t="inlineStr">
        <is>
          <t>CF 044</t>
        </is>
      </c>
      <c r="B97" s="30" t="inlineStr">
        <is>
          <t>MONCAR</t>
        </is>
      </c>
      <c r="C97" s="26" t="inlineStr">
        <is>
          <t>HITACHI</t>
        </is>
      </c>
      <c r="D97" s="11" t="inlineStr">
        <is>
          <t>PR50-PS11-F40/ 50-DUPN2/CS280A/350A/F50A/ P40/ CS28B/ 35B/ NUK- RN</t>
        </is>
      </c>
      <c r="E97" s="26" t="n">
        <v>5530</v>
      </c>
    </row>
    <row r="98">
      <c r="A98" s="29" t="inlineStr">
        <is>
          <t>CF 045</t>
        </is>
      </c>
      <c r="B98" s="29" t="inlineStr">
        <is>
          <t>MONCAR</t>
        </is>
      </c>
      <c r="C98" s="25" t="inlineStr">
        <is>
          <t>HITACHI</t>
        </is>
      </c>
      <c r="D98" s="10" t="inlineStr">
        <is>
          <t>HU 12/ 14- SR 15- PS 11- SB 110</t>
        </is>
      </c>
      <c r="E98" s="25" t="n">
        <v>5530</v>
      </c>
    </row>
    <row r="99">
      <c r="A99" s="30" t="inlineStr">
        <is>
          <t>CF 053</t>
        </is>
      </c>
      <c r="B99" s="30" t="inlineStr">
        <is>
          <t>MONCAR</t>
        </is>
      </c>
      <c r="C99" s="26" t="inlineStr">
        <is>
          <t>MAKITA</t>
        </is>
      </c>
      <c r="D99" s="11" t="inlineStr">
        <is>
          <t>MARTILLOCB175-MARTILLOHR5210-MARTILLOHR4510C-HM1214C-HM1317CB-HM1203C-HM1307CB</t>
        </is>
      </c>
      <c r="E99" s="26" t="n">
        <v>6330</v>
      </c>
    </row>
    <row r="100">
      <c r="A100" s="29" t="inlineStr">
        <is>
          <t>CF 054</t>
        </is>
      </c>
      <c r="B100" s="29" t="inlineStr">
        <is>
          <t>MONCAR</t>
        </is>
      </c>
      <c r="C100" s="25" t="inlineStr">
        <is>
          <t>MAKITA</t>
        </is>
      </c>
      <c r="D100" s="10" t="inlineStr">
        <is>
          <t>(CB303)AMOLADORA 4 1/2 9015-TALADRO6305-LIJADORA9404/9920/9927-CEPILLOMKPO83</t>
        </is>
      </c>
      <c r="E100" s="25" t="n">
        <v>3720</v>
      </c>
    </row>
    <row r="101">
      <c r="A101" s="30" t="inlineStr">
        <is>
          <t>CF 055</t>
        </is>
      </c>
      <c r="B101" s="30" t="inlineStr">
        <is>
          <t>MONCAR</t>
        </is>
      </c>
      <c r="C101" s="26" t="inlineStr">
        <is>
          <t>MAKITA</t>
        </is>
      </c>
      <c r="D101" s="11" t="inlineStr">
        <is>
          <t>(CB55)CORTACERCO UH4500/UH6300-TALADRO6300-4/6300T/6701B-AMOLAD.4 1/2 9500 N</t>
        </is>
      </c>
      <c r="E101" s="26" t="n">
        <v>0</v>
      </c>
    </row>
    <row r="102">
      <c r="A102" s="29" t="inlineStr">
        <is>
          <t>CF 056</t>
        </is>
      </c>
      <c r="B102" s="29" t="inlineStr">
        <is>
          <t>MONCAR</t>
        </is>
      </c>
      <c r="C102" s="25" t="inlineStr">
        <is>
          <t>MAKITA</t>
        </is>
      </c>
      <c r="D102" s="10" t="inlineStr">
        <is>
          <t>(CB203) AMOL. DE 7" Y 9" GA 7020/70405/9067/9069/9049 -SIERRA 2414 NB</t>
        </is>
      </c>
      <c r="E102" s="25" t="n">
        <v>5690</v>
      </c>
    </row>
    <row r="103">
      <c r="A103" s="30" t="inlineStr">
        <is>
          <t>CF 057</t>
        </is>
      </c>
      <c r="B103" s="30" t="inlineStr">
        <is>
          <t>MONCAR</t>
        </is>
      </c>
      <c r="C103" s="26" t="inlineStr">
        <is>
          <t>MAKITA</t>
        </is>
      </c>
      <c r="D103" s="11" t="inlineStr">
        <is>
          <t>(CB155)MARTILLO10KG1202/HM1301/HR4500/HR5000-AMOL7"/9"9609-SIERRA CIR.5007/5700</t>
        </is>
      </c>
      <c r="E103" s="26" t="n">
        <v>0</v>
      </c>
    </row>
    <row r="104">
      <c r="A104" s="29" t="inlineStr">
        <is>
          <t>CF 058</t>
        </is>
      </c>
      <c r="B104" s="29" t="inlineStr">
        <is>
          <t>MONCAR</t>
        </is>
      </c>
      <c r="C104" s="25" t="inlineStr">
        <is>
          <t>MARTINS</t>
        </is>
      </c>
      <c r="D104" s="10" t="inlineStr">
        <is>
          <t>AMOL. MP 9007/ 9009/ 9700/ 9900- MPRA 9700/ 9900</t>
        </is>
      </c>
      <c r="E104" s="25" t="n">
        <v>5180</v>
      </c>
    </row>
    <row r="105">
      <c r="A105" s="30" t="inlineStr">
        <is>
          <t>CF 059</t>
        </is>
      </c>
      <c r="B105" s="30" t="inlineStr">
        <is>
          <t>MONCAR</t>
        </is>
      </c>
      <c r="C105" s="26" t="inlineStr">
        <is>
          <t>MARTINS</t>
        </is>
      </c>
      <c r="D105" s="11" t="inlineStr">
        <is>
          <t>AMOL. MP 635- MS 9004/ 9400/ 9450- CALAD. MC 2000/3000- LIJ. MH 40</t>
        </is>
      </c>
      <c r="E105" s="26" t="n">
        <v>3280</v>
      </c>
    </row>
    <row r="106">
      <c r="A106" s="29" t="inlineStr">
        <is>
          <t>CF 060</t>
        </is>
      </c>
      <c r="B106" s="29" t="inlineStr">
        <is>
          <t>MONCAR</t>
        </is>
      </c>
      <c r="C106" s="25" t="inlineStr">
        <is>
          <t>MARTINS</t>
        </is>
      </c>
      <c r="D106" s="10" t="inlineStr">
        <is>
          <t>TAL. ML 5/ 5N/ NB/ NBA/ NA- M510/ 510 V/ 513- MP 10 N2/ 13 MZA</t>
        </is>
      </c>
      <c r="E106" s="25" t="n">
        <v>2530</v>
      </c>
    </row>
    <row r="107">
      <c r="A107" s="30" t="inlineStr">
        <is>
          <t>CF 061</t>
        </is>
      </c>
      <c r="B107" s="30" t="inlineStr">
        <is>
          <t>MONCAR</t>
        </is>
      </c>
      <c r="C107" s="26" t="inlineStr">
        <is>
          <t>MARTINS</t>
        </is>
      </c>
      <c r="D107" s="11" t="inlineStr">
        <is>
          <t>LIJADORAS MHV2- MH24/ 35/ 45. TALADRO PESADO ME 5- MI</t>
        </is>
      </c>
      <c r="E107" s="26" t="n">
        <v>3760</v>
      </c>
    </row>
    <row r="108">
      <c r="A108" s="29" t="inlineStr">
        <is>
          <t>CF 062</t>
        </is>
      </c>
      <c r="B108" s="29" t="inlineStr">
        <is>
          <t>MONCAR</t>
        </is>
      </c>
      <c r="C108" s="25" t="inlineStr">
        <is>
          <t>MARTINS</t>
        </is>
      </c>
      <c r="D108" s="10" t="inlineStr">
        <is>
          <t>CB 152- AMOLADORA MS 8007</t>
        </is>
      </c>
      <c r="E108" s="25" t="n">
        <v>5690</v>
      </c>
    </row>
    <row r="109">
      <c r="A109" s="30" t="inlineStr">
        <is>
          <t>CF 063</t>
        </is>
      </c>
      <c r="B109" s="30" t="inlineStr">
        <is>
          <t>MONCAR</t>
        </is>
      </c>
      <c r="C109" s="26" t="inlineStr">
        <is>
          <t>MARTINS</t>
        </is>
      </c>
      <c r="D109" s="11" t="inlineStr">
        <is>
          <t>SIERRA CIRCULAR 7" MY 184</t>
        </is>
      </c>
      <c r="E109" s="26" t="n">
        <v>2780</v>
      </c>
    </row>
    <row r="110">
      <c r="A110" s="29" t="inlineStr">
        <is>
          <t>CF 066</t>
        </is>
      </c>
      <c r="B110" s="29" t="inlineStr">
        <is>
          <t>MONCAR</t>
        </is>
      </c>
      <c r="C110" s="25" t="inlineStr">
        <is>
          <t>METABO</t>
        </is>
      </c>
      <c r="D110" s="10" t="inlineStr">
        <is>
          <t>CON AVISO DESGASTE</t>
        </is>
      </c>
      <c r="E110" s="25" t="n">
        <v>3860</v>
      </c>
    </row>
    <row r="111">
      <c r="A111" s="30" t="inlineStr">
        <is>
          <t>CF 067</t>
        </is>
      </c>
      <c r="B111" s="30" t="inlineStr">
        <is>
          <t>MONCAR</t>
        </is>
      </c>
      <c r="C111" s="26" t="inlineStr">
        <is>
          <t>METABO</t>
        </is>
      </c>
      <c r="D111" s="11" t="inlineStr">
        <is>
          <t>CON AVISO DE DESGASTE</t>
        </is>
      </c>
      <c r="E111" s="26" t="n">
        <v>5060</v>
      </c>
    </row>
    <row r="112">
      <c r="A112" s="29" t="inlineStr">
        <is>
          <t>CF 068</t>
        </is>
      </c>
      <c r="B112" s="29" t="inlineStr">
        <is>
          <t>MONCAR</t>
        </is>
      </c>
      <c r="C112" s="25" t="inlineStr">
        <is>
          <t>PEUGEOT</t>
        </is>
      </c>
      <c r="D112" s="10" t="inlineStr">
        <is>
          <t>TAL. 10 MOD. PC 400 ER -PC 402 P- LIJ. ORB. PV 240- CORT. CERC.JH 42 F</t>
        </is>
      </c>
      <c r="E112" s="25" t="n">
        <v>1640</v>
      </c>
    </row>
    <row r="113">
      <c r="A113" s="30" t="inlineStr">
        <is>
          <t>CF 069</t>
        </is>
      </c>
      <c r="B113" s="30" t="inlineStr">
        <is>
          <t>MONCAR</t>
        </is>
      </c>
      <c r="C113" s="26" t="inlineStr">
        <is>
          <t>PEUGEOT</t>
        </is>
      </c>
      <c r="D113" s="11" t="inlineStr">
        <is>
          <t>TAL. 16 MOD. PC 1010 RCA- AMOL. ANG. 115 AM</t>
        </is>
      </c>
      <c r="E113" s="26" t="n">
        <v>1760</v>
      </c>
    </row>
    <row r="114">
      <c r="A114" s="29" t="inlineStr">
        <is>
          <t>CF 070</t>
        </is>
      </c>
      <c r="B114" s="29" t="inlineStr">
        <is>
          <t>MONCAR</t>
        </is>
      </c>
      <c r="C114" s="25" t="inlineStr">
        <is>
          <t>PEUGEOT</t>
        </is>
      </c>
      <c r="D114" s="10" t="inlineStr">
        <is>
          <t>AMOL. ANG. 7" MOD. 180 MA Y 9" MOD. 230 MA</t>
        </is>
      </c>
      <c r="E114" s="25" t="n">
        <v>6080</v>
      </c>
    </row>
    <row r="115">
      <c r="A115" s="30" t="inlineStr">
        <is>
          <t>CF 094</t>
        </is>
      </c>
      <c r="B115" s="30" t="inlineStr">
        <is>
          <t>MONCAR</t>
        </is>
      </c>
      <c r="C115" s="26" t="inlineStr">
        <is>
          <t>SKIL</t>
        </is>
      </c>
      <c r="D115" s="11" t="inlineStr">
        <is>
          <t>GARLOPA 944- TAL. 6432/ 6634- LIJ. ORB. 663- LIJ. BANDA 7313</t>
        </is>
      </c>
      <c r="E115" s="26" t="n">
        <v>1760</v>
      </c>
    </row>
    <row r="116">
      <c r="A116" s="29" t="inlineStr">
        <is>
          <t>CF 095</t>
        </is>
      </c>
      <c r="B116" s="29" t="inlineStr">
        <is>
          <t>MONCAR</t>
        </is>
      </c>
      <c r="C116" s="25" t="inlineStr">
        <is>
          <t>SKIL</t>
        </is>
      </c>
      <c r="D116" s="10" t="inlineStr">
        <is>
          <t>TAL. 503/ 541/ 560/ 569- CALADORAS 432/ 482/ 487- CORTAD. 532H/ 533H</t>
        </is>
      </c>
      <c r="E116" s="25" t="n">
        <v>2020</v>
      </c>
    </row>
    <row r="117">
      <c r="A117" s="30" t="inlineStr">
        <is>
          <t>CF 096</t>
        </is>
      </c>
      <c r="B117" s="30" t="inlineStr">
        <is>
          <t>MONCAR</t>
        </is>
      </c>
      <c r="C117" s="26" t="inlineStr">
        <is>
          <t>SKIL</t>
        </is>
      </c>
      <c r="D117" s="11" t="inlineStr">
        <is>
          <t>SIERRAS MOD. 538/ 574</t>
        </is>
      </c>
      <c r="E117" s="26" t="n">
        <v>2130</v>
      </c>
    </row>
    <row r="118">
      <c r="A118" s="29" t="inlineStr">
        <is>
          <t>CF 097</t>
        </is>
      </c>
      <c r="B118" s="29" t="inlineStr">
        <is>
          <t>MONCAR</t>
        </is>
      </c>
      <c r="C118" s="25" t="inlineStr">
        <is>
          <t>STAYER</t>
        </is>
      </c>
      <c r="D118" s="10" t="inlineStr">
        <is>
          <t>AMOL. 4 1/2"- SA7/ SA107- SAP 55- SA 115- SA 100- W 500- L 190</t>
        </is>
      </c>
      <c r="E118" s="25" t="n">
        <v>3540</v>
      </c>
    </row>
    <row r="119">
      <c r="A119" s="30" t="inlineStr">
        <is>
          <t>CF 098</t>
        </is>
      </c>
      <c r="B119" s="30" t="inlineStr">
        <is>
          <t>MONCAR</t>
        </is>
      </c>
      <c r="C119" s="26" t="inlineStr">
        <is>
          <t>STAYER</t>
        </is>
      </c>
      <c r="D119" s="11" t="inlineStr">
        <is>
          <t>AMOL. 7"- SA 12/ SA 12 AL/ 9"- SA 10/ SA 10 AL CON AVISO DE DESGASTE</t>
        </is>
      </c>
      <c r="E119" s="26" t="n">
        <v>5420</v>
      </c>
    </row>
    <row r="120">
      <c r="A120" s="29" t="inlineStr">
        <is>
          <t>CF 099</t>
        </is>
      </c>
      <c r="B120" s="29" t="inlineStr">
        <is>
          <t>MONCAR</t>
        </is>
      </c>
      <c r="C120" s="25" t="inlineStr">
        <is>
          <t>STAYER</t>
        </is>
      </c>
      <c r="D120" s="10" t="inlineStr">
        <is>
          <t>AMOLADORAS 7" Y 9" (MODELO VIEJO)</t>
        </is>
      </c>
      <c r="E120" s="25" t="n">
        <v>5830</v>
      </c>
    </row>
    <row r="121">
      <c r="A121" s="30" t="inlineStr">
        <is>
          <t>CF 100</t>
        </is>
      </c>
      <c r="B121" s="30" t="inlineStr">
        <is>
          <t>MONCAR</t>
        </is>
      </c>
      <c r="C121" s="26" t="inlineStr">
        <is>
          <t>STAYER</t>
        </is>
      </c>
      <c r="D121" s="11" t="inlineStr">
        <is>
          <t>AMOLADORAS 7" Y 9" (2300 W) MOD. 295/ 297</t>
        </is>
      </c>
      <c r="E121" s="26" t="n">
        <v>5760</v>
      </c>
    </row>
    <row r="122">
      <c r="A122" s="29" t="inlineStr">
        <is>
          <t>CF 114</t>
        </is>
      </c>
      <c r="B122" s="29" t="inlineStr">
        <is>
          <t>MONCAR</t>
        </is>
      </c>
      <c r="C122" s="25" t="inlineStr">
        <is>
          <t>MAKITA</t>
        </is>
      </c>
      <c r="D122" s="10" t="inlineStr">
        <is>
          <t>CB 52- AMOL DE 4 MOD. 9500 N</t>
        </is>
      </c>
      <c r="E122" s="25" t="n">
        <v>3280</v>
      </c>
    </row>
    <row r="123">
      <c r="A123" s="30" t="inlineStr">
        <is>
          <t>CF 115</t>
        </is>
      </c>
      <c r="B123" s="30" t="inlineStr">
        <is>
          <t>MONCAR</t>
        </is>
      </c>
      <c r="C123" s="26" t="inlineStr">
        <is>
          <t>MAKITA</t>
        </is>
      </c>
      <c r="D123" s="11" t="inlineStr">
        <is>
          <t>CB 1- CEPILLOS 1000 SB- RECTIFICADORA 903</t>
        </is>
      </c>
      <c r="E123" s="26" t="n">
        <v>3280</v>
      </c>
    </row>
    <row r="124">
      <c r="A124" s="29" t="inlineStr">
        <is>
          <t>CF 116</t>
        </is>
      </c>
      <c r="B124" s="29" t="inlineStr">
        <is>
          <t>MONCAR</t>
        </is>
      </c>
      <c r="C124" s="25" t="inlineStr">
        <is>
          <t>MAKITA</t>
        </is>
      </c>
      <c r="D124" s="10" t="inlineStr">
        <is>
          <t>(CB100)MARTILLO HM810/HR2010- CEPILLO PC1100- LIJ.9924B/9741/99003-AMOL.4 1/2 9207B</t>
        </is>
      </c>
      <c r="E124" s="25" t="n">
        <v>0</v>
      </c>
    </row>
    <row r="125">
      <c r="A125" s="30" t="inlineStr">
        <is>
          <t>CF 118</t>
        </is>
      </c>
      <c r="B125" s="30" t="inlineStr">
        <is>
          <t>MONCAR</t>
        </is>
      </c>
      <c r="C125" s="26" t="inlineStr">
        <is>
          <t>METABO</t>
        </is>
      </c>
      <c r="D125" s="11" t="inlineStr">
        <is>
          <t>067- TALADROS 621- MART. 6010/ 6018/ 6019/ 6026/ 102</t>
        </is>
      </c>
      <c r="E125" s="26" t="n">
        <v>2780</v>
      </c>
    </row>
    <row r="126">
      <c r="A126" s="29" t="inlineStr">
        <is>
          <t>CF 119</t>
        </is>
      </c>
      <c r="B126" s="29" t="inlineStr">
        <is>
          <t>MONCAR</t>
        </is>
      </c>
      <c r="C126" s="25" t="inlineStr">
        <is>
          <t>METABO</t>
        </is>
      </c>
      <c r="D126" s="10" t="inlineStr">
        <is>
          <t>123/ 126/ 125- TALADROS- BE 250- SR 356- SXE 125-SBE 540/550</t>
        </is>
      </c>
      <c r="E126" s="25" t="n">
        <v>2780</v>
      </c>
    </row>
    <row r="127">
      <c r="A127" s="30" t="inlineStr">
        <is>
          <t>CF 178</t>
        </is>
      </c>
      <c r="B127" s="30" t="inlineStr">
        <is>
          <t>MONCAR</t>
        </is>
      </c>
      <c r="C127" s="26" t="inlineStr">
        <is>
          <t>DE WALT</t>
        </is>
      </c>
      <c r="D127" s="11" t="inlineStr">
        <is>
          <t>LUSTRALIJADORA WP 849X</t>
        </is>
      </c>
      <c r="E127" s="26" t="n">
        <v>3540</v>
      </c>
    </row>
    <row r="128">
      <c r="A128" s="29" t="inlineStr">
        <is>
          <t>CF 179</t>
        </is>
      </c>
      <c r="B128" s="29" t="inlineStr">
        <is>
          <t>MONCAR</t>
        </is>
      </c>
      <c r="C128" s="25" t="inlineStr">
        <is>
          <t>DE WALT</t>
        </is>
      </c>
      <c r="D128" s="10" t="inlineStr">
        <is>
          <t>DWE 508 NUEVO-ATORNILLADOR 255-268 DWD 024</t>
        </is>
      </c>
      <c r="E128" s="25" t="n">
        <v>2530</v>
      </c>
    </row>
    <row r="129">
      <c r="A129" s="30" t="inlineStr">
        <is>
          <t>CF 180</t>
        </is>
      </c>
      <c r="B129" s="30" t="inlineStr">
        <is>
          <t>MONCAR</t>
        </is>
      </c>
      <c r="C129" s="26" t="inlineStr">
        <is>
          <t>DE WALT</t>
        </is>
      </c>
      <c r="D129" s="11" t="inlineStr">
        <is>
          <t>AMOLADORA DWE 4212/4214</t>
        </is>
      </c>
      <c r="E129" s="26" t="n">
        <v>4550</v>
      </c>
    </row>
    <row r="130">
      <c r="A130" s="29" t="inlineStr">
        <is>
          <t>CF 181</t>
        </is>
      </c>
      <c r="B130" s="29" t="inlineStr">
        <is>
          <t>MONCAR</t>
        </is>
      </c>
      <c r="C130" s="25" t="inlineStr">
        <is>
          <t>DE WALT</t>
        </is>
      </c>
      <c r="D130" s="10" t="inlineStr">
        <is>
          <t>AMOLADORA  ANGULAR 4 1/2 MOD.4020</t>
        </is>
      </c>
      <c r="E130" s="25" t="n">
        <v>3910</v>
      </c>
    </row>
    <row r="131">
      <c r="A131" s="30" t="inlineStr">
        <is>
          <t>CF 183</t>
        </is>
      </c>
      <c r="B131" s="30" t="inlineStr">
        <is>
          <t>MONCAR</t>
        </is>
      </c>
      <c r="C131" s="26" t="inlineStr">
        <is>
          <t>DE WALT</t>
        </is>
      </c>
      <c r="D131" s="11" t="inlineStr">
        <is>
          <t>D28490/D28491/D28496/D28474W/D28476W/D28494M/D28496M(CON AVISO DE DESGASTE)</t>
        </is>
      </c>
      <c r="E131" s="26" t="n">
        <v>5830</v>
      </c>
    </row>
    <row r="132">
      <c r="A132" s="29" t="inlineStr">
        <is>
          <t>CF 184</t>
        </is>
      </c>
      <c r="B132" s="29" t="inlineStr">
        <is>
          <t>MONCAR</t>
        </is>
      </c>
      <c r="C132" s="25" t="inlineStr">
        <is>
          <t>DE WALT</t>
        </is>
      </c>
      <c r="D132" s="10" t="n"/>
      <c r="E132" s="25" t="n">
        <v>3540</v>
      </c>
    </row>
    <row r="133">
      <c r="A133" s="30" t="inlineStr">
        <is>
          <t>CF 185</t>
        </is>
      </c>
      <c r="B133" s="30" t="inlineStr">
        <is>
          <t>MONCAR</t>
        </is>
      </c>
      <c r="C133" s="26" t="inlineStr">
        <is>
          <t>DE WALT</t>
        </is>
      </c>
      <c r="D133" s="11" t="inlineStr">
        <is>
          <t>DW 861 CORTADORA DE HORMIGON CON AVISO DE DESGASTE</t>
        </is>
      </c>
      <c r="E133" s="26" t="n">
        <v>5310</v>
      </c>
    </row>
    <row r="134">
      <c r="A134" s="29" t="inlineStr">
        <is>
          <t>CF 186</t>
        </is>
      </c>
      <c r="B134" s="29" t="inlineStr">
        <is>
          <t>MONCAR</t>
        </is>
      </c>
      <c r="C134" s="25" t="inlineStr">
        <is>
          <t>DE WALT</t>
        </is>
      </c>
      <c r="D134" s="10" t="inlineStr">
        <is>
          <t>CON AVISO DE DESGASTE</t>
        </is>
      </c>
      <c r="E134" s="25" t="n">
        <v>4070</v>
      </c>
    </row>
    <row r="135">
      <c r="A135" s="30" t="inlineStr">
        <is>
          <t>CF 187</t>
        </is>
      </c>
      <c r="B135" s="30" t="inlineStr">
        <is>
          <t>MONCAR</t>
        </is>
      </c>
      <c r="C135" s="26" t="inlineStr">
        <is>
          <t>DE WALT</t>
        </is>
      </c>
      <c r="D135" s="11" t="inlineStr">
        <is>
          <t>D25103/D25013K/D25113//D25123K/D25303/D25124K/D25313K/D25114K(CON AVISO DESG.)</t>
        </is>
      </c>
      <c r="E135" s="26" t="n">
        <v>3540</v>
      </c>
    </row>
    <row r="136">
      <c r="A136" s="29" t="inlineStr">
        <is>
          <t>CF 188</t>
        </is>
      </c>
      <c r="B136" s="29" t="inlineStr">
        <is>
          <t>MONCAR</t>
        </is>
      </c>
      <c r="C136" s="25" t="inlineStr">
        <is>
          <t>DE WALT</t>
        </is>
      </c>
      <c r="D136" s="10" t="inlineStr">
        <is>
          <t>CON AVISO DE DESGASTE DW621 FRESADORA</t>
        </is>
      </c>
      <c r="E136" s="25" t="n">
        <v>5300</v>
      </c>
    </row>
    <row r="137">
      <c r="A137" s="30" t="inlineStr">
        <is>
          <t>CF 189</t>
        </is>
      </c>
      <c r="B137" s="30" t="inlineStr">
        <is>
          <t>MONCAR</t>
        </is>
      </c>
      <c r="C137" s="26" t="inlineStr">
        <is>
          <t>DE WALT</t>
        </is>
      </c>
      <c r="D137" s="11" t="inlineStr">
        <is>
          <t>D28111/D28112/D28136AR/D28143/D28136/D28114 (CON AVISO DE DESGASTE)</t>
        </is>
      </c>
      <c r="E137" s="26" t="n">
        <v>3760</v>
      </c>
    </row>
    <row r="138">
      <c r="A138" s="29" t="inlineStr">
        <is>
          <t>CF 190</t>
        </is>
      </c>
      <c r="B138" s="29" t="inlineStr">
        <is>
          <t>MONCAR</t>
        </is>
      </c>
      <c r="C138" s="25" t="inlineStr">
        <is>
          <t>DE WALT</t>
        </is>
      </c>
      <c r="D138" s="10" t="inlineStr">
        <is>
          <t>DW402/DW411/DW412/DW421/LIJADORA D26441/D26451/CAL. DW313/318/317/331/433</t>
        </is>
      </c>
      <c r="E138" s="25" t="n">
        <v>3760</v>
      </c>
    </row>
    <row r="139">
      <c r="A139" s="30" t="inlineStr">
        <is>
          <t>CF 191</t>
        </is>
      </c>
      <c r="B139" s="30" t="inlineStr">
        <is>
          <t>MONCAR</t>
        </is>
      </c>
      <c r="C139" s="26" t="inlineStr">
        <is>
          <t>DE WALT</t>
        </is>
      </c>
      <c r="D139" s="11" t="inlineStr">
        <is>
          <t>DW476/DWDW848/DW852/DW498/DW849/DW478/DW492/DW852/DW892(CON AVISO DESG.)</t>
        </is>
      </c>
      <c r="E139" s="26" t="n">
        <v>5590</v>
      </c>
    </row>
    <row r="140">
      <c r="A140" s="29" t="inlineStr">
        <is>
          <t>CF 192</t>
        </is>
      </c>
      <c r="B140" s="29" t="inlineStr">
        <is>
          <t>MONCAR</t>
        </is>
      </c>
      <c r="C140" s="25" t="inlineStr">
        <is>
          <t>DE WALT</t>
        </is>
      </c>
      <c r="D140" s="10" t="inlineStr">
        <is>
          <t>CON AVISO DESGASTE</t>
        </is>
      </c>
      <c r="E140" s="25" t="n">
        <v>3370</v>
      </c>
    </row>
    <row r="141">
      <c r="A141" s="30" t="inlineStr">
        <is>
          <t>CF 193</t>
        </is>
      </c>
      <c r="B141" s="30" t="inlineStr">
        <is>
          <t>MONCAR</t>
        </is>
      </c>
      <c r="C141" s="26" t="inlineStr">
        <is>
          <t>DE WALT</t>
        </is>
      </c>
      <c r="D141" s="11" t="inlineStr">
        <is>
          <t>TALADROSDW502/DW502K/DW107/DW508S/DW508SK/DW507/DW503/DW505/512/210G/130V</t>
        </is>
      </c>
      <c r="E141" s="26" t="n">
        <v>3540</v>
      </c>
    </row>
    <row r="142">
      <c r="A142" s="29" t="inlineStr">
        <is>
          <t>CF 194</t>
        </is>
      </c>
      <c r="B142" s="29" t="inlineStr">
        <is>
          <t>MONCAR</t>
        </is>
      </c>
      <c r="C142" s="25" t="inlineStr">
        <is>
          <t>DE WALT</t>
        </is>
      </c>
      <c r="D142" s="10" t="inlineStr">
        <is>
          <t>TALADRO PERCUTOR-. DW 501/ 503/ 508 - 507 TP 10/ 13 mm.</t>
        </is>
      </c>
      <c r="E142" s="25" t="n">
        <v>4880</v>
      </c>
    </row>
    <row r="143">
      <c r="A143" s="30" t="inlineStr">
        <is>
          <t>CF 195</t>
        </is>
      </c>
      <c r="B143" s="30" t="inlineStr">
        <is>
          <t>MONCAR</t>
        </is>
      </c>
      <c r="C143" s="26" t="inlineStr">
        <is>
          <t>DE WALT</t>
        </is>
      </c>
      <c r="D143" s="11" t="inlineStr">
        <is>
          <t>CON AVISO DESGASTE</t>
        </is>
      </c>
      <c r="E143" s="26" t="n">
        <v>5590</v>
      </c>
    </row>
    <row r="144">
      <c r="A144" s="29" t="inlineStr">
        <is>
          <t>CF 196</t>
        </is>
      </c>
      <c r="B144" s="29" t="inlineStr">
        <is>
          <t>MONCAR</t>
        </is>
      </c>
      <c r="C144" s="25" t="inlineStr">
        <is>
          <t>DE WALT</t>
        </is>
      </c>
      <c r="D144" s="10" t="inlineStr">
        <is>
          <t>CON AVISO DE DESGASTE</t>
        </is>
      </c>
      <c r="E144" s="25" t="n">
        <v>4880</v>
      </c>
    </row>
    <row r="145">
      <c r="A145" s="30" t="inlineStr">
        <is>
          <t>CF 197</t>
        </is>
      </c>
      <c r="B145" s="30" t="inlineStr">
        <is>
          <t>MONCAR</t>
        </is>
      </c>
      <c r="C145" s="26" t="inlineStr">
        <is>
          <t>DE WALT</t>
        </is>
      </c>
      <c r="D145" s="11" t="inlineStr">
        <is>
          <t>CORTADORA DE CEMENTO DW 301 3062</t>
        </is>
      </c>
      <c r="E145" s="26" t="n">
        <v>5530</v>
      </c>
    </row>
    <row r="146">
      <c r="A146" s="29" t="inlineStr">
        <is>
          <t>CF 198</t>
        </is>
      </c>
      <c r="B146" s="29" t="inlineStr">
        <is>
          <t>MONCAR</t>
        </is>
      </c>
      <c r="C146" s="25" t="inlineStr">
        <is>
          <t>DE WALT</t>
        </is>
      </c>
      <c r="D146" s="10" t="inlineStr">
        <is>
          <t>CPRTADORA SENSITIVA DW 870 TRAZADORA 14"</t>
        </is>
      </c>
      <c r="E146" s="25" t="n">
        <v>5060</v>
      </c>
    </row>
    <row r="147">
      <c r="A147" s="30" t="inlineStr">
        <is>
          <t>CF 241</t>
        </is>
      </c>
      <c r="B147" s="30" t="inlineStr">
        <is>
          <t>MONCAR</t>
        </is>
      </c>
      <c r="C147" s="26" t="inlineStr">
        <is>
          <t>COBRA</t>
        </is>
      </c>
      <c r="D147" s="11" t="inlineStr">
        <is>
          <t>AMOL.ANGULAR 4 1/2"- MOD. SIM 115 - SPRO/ BPRO</t>
        </is>
      </c>
      <c r="E147" s="26" t="n">
        <v>2530</v>
      </c>
    </row>
    <row r="148">
      <c r="A148" s="29" t="inlineStr">
        <is>
          <t>CF 242</t>
        </is>
      </c>
      <c r="B148" s="29" t="inlineStr">
        <is>
          <t>MONCAR</t>
        </is>
      </c>
      <c r="C148" s="25" t="inlineStr">
        <is>
          <t>COBRA</t>
        </is>
      </c>
      <c r="D148" s="10" t="inlineStr">
        <is>
          <t>LLUSTRALIJADORA MOD. LL 180 - AMOL.7 " -SIM 180</t>
        </is>
      </c>
      <c r="E148" s="25" t="n">
        <v>5060</v>
      </c>
    </row>
    <row r="149">
      <c r="A149" s="30" t="inlineStr">
        <is>
          <t>CF 243</t>
        </is>
      </c>
      <c r="B149" s="30" t="inlineStr">
        <is>
          <t>MONCAR</t>
        </is>
      </c>
      <c r="C149" s="26" t="inlineStr">
        <is>
          <t>COBRA</t>
        </is>
      </c>
      <c r="D149" s="11" t="inlineStr">
        <is>
          <t>CORTADORA SENSITIVA MOD. CO 355</t>
        </is>
      </c>
      <c r="E149" s="26" t="n">
        <v>5300</v>
      </c>
    </row>
    <row r="150">
      <c r="A150" s="29" t="inlineStr">
        <is>
          <t>CF 250</t>
        </is>
      </c>
      <c r="B150" s="29" t="inlineStr">
        <is>
          <t>MONCAR</t>
        </is>
      </c>
      <c r="C150" s="25" t="inlineStr">
        <is>
          <t>VERSA</t>
        </is>
      </c>
      <c r="D150" s="10" t="inlineStr">
        <is>
          <t>TALADRO DE MANO MOD KPHDO 306 380W</t>
        </is>
      </c>
      <c r="E150" s="25" t="n">
        <v>2260</v>
      </c>
    </row>
    <row r="151">
      <c r="A151" s="30" t="inlineStr">
        <is>
          <t>CF 251</t>
        </is>
      </c>
      <c r="B151" s="30" t="inlineStr">
        <is>
          <t>MONCAR</t>
        </is>
      </c>
      <c r="C151" s="26" t="inlineStr">
        <is>
          <t>VERSA</t>
        </is>
      </c>
      <c r="D151" s="11" t="inlineStr">
        <is>
          <t>TALADRO DEIMPACTO VELOCIDAD VARIABLE MOD KPIDO 807 810W</t>
        </is>
      </c>
      <c r="E151" s="26" t="n">
        <v>2530</v>
      </c>
    </row>
    <row r="152">
      <c r="A152" s="29" t="inlineStr">
        <is>
          <t>CF 252</t>
        </is>
      </c>
      <c r="B152" s="29" t="inlineStr">
        <is>
          <t>MONCAR</t>
        </is>
      </c>
      <c r="C152" s="25" t="inlineStr">
        <is>
          <t>VERSA</t>
        </is>
      </c>
      <c r="D152" s="10" t="inlineStr">
        <is>
          <t>TALADRO MANO VELOCIDAD VARIABLE MOD KPIDO 507 550W</t>
        </is>
      </c>
      <c r="E152" s="25" t="n">
        <v>2380</v>
      </c>
    </row>
    <row r="153">
      <c r="A153" s="30" t="inlineStr">
        <is>
          <t>CF 253</t>
        </is>
      </c>
      <c r="B153" s="30" t="inlineStr">
        <is>
          <t>MONCAR</t>
        </is>
      </c>
      <c r="C153" s="26" t="inlineStr">
        <is>
          <t>VERSA</t>
        </is>
      </c>
      <c r="D153" s="11" t="inlineStr">
        <is>
          <t>AMOLADORA ANGULAR MOD KPAGO 507 500W/ KPAGO 705 750W</t>
        </is>
      </c>
      <c r="E153" s="26" t="n">
        <v>2300</v>
      </c>
    </row>
    <row r="154">
      <c r="A154" s="29" t="inlineStr">
        <is>
          <t>CF 255</t>
        </is>
      </c>
      <c r="B154" s="29" t="inlineStr">
        <is>
          <t>MONCAR</t>
        </is>
      </c>
      <c r="C154" s="25" t="inlineStr">
        <is>
          <t>VERSA</t>
        </is>
      </c>
      <c r="D154" s="10" t="inlineStr">
        <is>
          <t>AMOLADORA ANGULAR MOD KPAGO 911 950W</t>
        </is>
      </c>
      <c r="E154" s="25" t="n">
        <v>3030</v>
      </c>
    </row>
    <row r="155">
      <c r="A155" s="30" t="inlineStr">
        <is>
          <t>CF 256</t>
        </is>
      </c>
      <c r="B155" s="30" t="inlineStr">
        <is>
          <t>MONCAR</t>
        </is>
      </c>
      <c r="C155" s="26" t="inlineStr">
        <is>
          <t>VERSA</t>
        </is>
      </c>
      <c r="D155" s="11" t="inlineStr">
        <is>
          <t>AMOLADORA ANGULAR MOD KPAG2002 2400W</t>
        </is>
      </c>
      <c r="E155" s="26" t="n">
        <v>5060</v>
      </c>
    </row>
    <row r="156">
      <c r="A156" s="29" t="inlineStr">
        <is>
          <t>CF 257</t>
        </is>
      </c>
      <c r="B156" s="29" t="inlineStr">
        <is>
          <t>MONCAR</t>
        </is>
      </c>
      <c r="C156" s="25" t="inlineStr">
        <is>
          <t>VERSA</t>
        </is>
      </c>
      <c r="D156" s="10" t="inlineStr">
        <is>
          <t>CALADORA ELECTRICA MOD KPJS 0704 750W</t>
        </is>
      </c>
      <c r="E156" s="25" t="n">
        <v>2300</v>
      </c>
    </row>
    <row r="157">
      <c r="A157" s="30" t="inlineStr">
        <is>
          <t>CF 258</t>
        </is>
      </c>
      <c r="B157" s="30" t="inlineStr">
        <is>
          <t>MONCAR</t>
        </is>
      </c>
      <c r="C157" s="26" t="inlineStr">
        <is>
          <t>VERSA</t>
        </is>
      </c>
      <c r="D157" s="11" t="inlineStr">
        <is>
          <t>CORTADORA SENSITIVA MOD A270 2200W</t>
        </is>
      </c>
      <c r="E157" s="26" t="n">
        <v>5060</v>
      </c>
    </row>
    <row r="158">
      <c r="A158" s="29" t="inlineStr">
        <is>
          <t>CF 260</t>
        </is>
      </c>
      <c r="B158" s="29" t="inlineStr">
        <is>
          <t>MONCAR</t>
        </is>
      </c>
      <c r="C158" s="25" t="inlineStr">
        <is>
          <t>VERSA</t>
        </is>
      </c>
      <c r="D158" s="10" t="inlineStr">
        <is>
          <t>TALADRO RECARGABLE MOD KPCDO 217 VELOCIDAD VARIABLE</t>
        </is>
      </c>
      <c r="E158" s="25" t="n">
        <v>2820</v>
      </c>
    </row>
    <row r="159">
      <c r="A159" s="30" t="inlineStr">
        <is>
          <t>CF 261</t>
        </is>
      </c>
      <c r="B159" s="30" t="inlineStr">
        <is>
          <t>MONCAR</t>
        </is>
      </c>
      <c r="C159" s="26" t="inlineStr">
        <is>
          <t>VERSA</t>
        </is>
      </c>
      <c r="D159" s="11" t="inlineStr">
        <is>
          <t>TALADRO DE IMPACTO MOD KPSTO 102 1200W</t>
        </is>
      </c>
      <c r="E159" s="26" t="n">
        <v>3410</v>
      </c>
    </row>
    <row r="160">
      <c r="A160" s="29" t="inlineStr">
        <is>
          <t>CF 262</t>
        </is>
      </c>
      <c r="B160" s="29" t="inlineStr">
        <is>
          <t>MONCAR</t>
        </is>
      </c>
      <c r="C160" s="25" t="inlineStr">
        <is>
          <t>VERSA</t>
        </is>
      </c>
      <c r="D160" s="10" t="inlineStr">
        <is>
          <t>TALADRO ROTOPERCUTOR MOD KPRHO 602 780W</t>
        </is>
      </c>
      <c r="E160" s="25" t="n">
        <v>3410</v>
      </c>
    </row>
    <row r="161">
      <c r="A161" s="30" t="inlineStr">
        <is>
          <t>CF 263</t>
        </is>
      </c>
      <c r="B161" s="30" t="inlineStr">
        <is>
          <t>MONCAR</t>
        </is>
      </c>
      <c r="C161" s="26" t="inlineStr">
        <is>
          <t>VERSA</t>
        </is>
      </c>
      <c r="D161" s="11" t="inlineStr">
        <is>
          <t>FRESADORA DE MANO MOD KPER 1203 1250W</t>
        </is>
      </c>
      <c r="E161" s="26" t="n">
        <v>3410</v>
      </c>
    </row>
    <row r="162">
      <c r="A162" s="29" t="inlineStr">
        <is>
          <t>CF 264</t>
        </is>
      </c>
      <c r="B162" s="29" t="inlineStr">
        <is>
          <t>MONCAR</t>
        </is>
      </c>
      <c r="C162" s="25" t="inlineStr">
        <is>
          <t>VERSA</t>
        </is>
      </c>
      <c r="D162" s="10" t="inlineStr">
        <is>
          <t>ACANALADORA DE MUROS MOD KPEHO 901 930W</t>
        </is>
      </c>
      <c r="E162" s="25" t="n">
        <v>3990</v>
      </c>
    </row>
    <row r="163">
      <c r="A163" s="30" t="inlineStr">
        <is>
          <t>CF 341</t>
        </is>
      </c>
      <c r="B163" s="30" t="inlineStr">
        <is>
          <t>MONCAR</t>
        </is>
      </c>
      <c r="C163" s="26" t="inlineStr">
        <is>
          <t>POWER TOOLS</t>
        </is>
      </c>
      <c r="D163" s="11" t="inlineStr">
        <is>
          <t>CON AVISO DE DESGASTE</t>
        </is>
      </c>
      <c r="E163" s="26" t="n">
        <v>2620</v>
      </c>
    </row>
    <row r="164">
      <c r="A164" s="29" t="inlineStr">
        <is>
          <t>CF 342</t>
        </is>
      </c>
      <c r="B164" s="29" t="inlineStr">
        <is>
          <t>MONCAR</t>
        </is>
      </c>
      <c r="C164" s="25" t="inlineStr">
        <is>
          <t>POWER TOOLS</t>
        </is>
      </c>
      <c r="D164" s="10" t="inlineStr">
        <is>
          <t>AMOL. 4 1/2" MOD. A 4115</t>
        </is>
      </c>
      <c r="E164" s="25" t="n">
        <v>2780</v>
      </c>
    </row>
    <row r="165">
      <c r="A165" s="30" t="inlineStr">
        <is>
          <t>CF 343</t>
        </is>
      </c>
      <c r="B165" s="30" t="inlineStr">
        <is>
          <t>MONCAR</t>
        </is>
      </c>
      <c r="C165" s="26" t="inlineStr">
        <is>
          <t>POWER TOOLS</t>
        </is>
      </c>
      <c r="D165" s="11" t="inlineStr">
        <is>
          <t>CALADORA MOD. K 3360</t>
        </is>
      </c>
      <c r="E165" s="26" t="n">
        <v>2780</v>
      </c>
    </row>
    <row r="166">
      <c r="A166" s="29" t="inlineStr">
        <is>
          <t>CF 344</t>
        </is>
      </c>
      <c r="B166" s="29" t="inlineStr">
        <is>
          <t>MONCAR</t>
        </is>
      </c>
      <c r="C166" s="25" t="inlineStr">
        <is>
          <t>POWER TOOLS</t>
        </is>
      </c>
      <c r="D166" s="10" t="inlineStr">
        <is>
          <t>SIERRA DE MESA MOD. C 8250 T</t>
        </is>
      </c>
      <c r="E166" s="25" t="n">
        <v>2310</v>
      </c>
    </row>
    <row r="167">
      <c r="A167" s="30" t="inlineStr">
        <is>
          <t>CF 345</t>
        </is>
      </c>
      <c r="B167" s="30" t="inlineStr">
        <is>
          <t>MONCAR</t>
        </is>
      </c>
      <c r="C167" s="26" t="inlineStr">
        <is>
          <t>POWER TOOLS</t>
        </is>
      </c>
      <c r="D167" s="11" t="inlineStr">
        <is>
          <t>AMOL. 7" MOD. A 9180</t>
        </is>
      </c>
      <c r="E167" s="26" t="n">
        <v>5640</v>
      </c>
    </row>
    <row r="168">
      <c r="A168" s="29" t="inlineStr">
        <is>
          <t>CF 346</t>
        </is>
      </c>
      <c r="B168" s="29" t="inlineStr">
        <is>
          <t>MONCAR</t>
        </is>
      </c>
      <c r="C168" s="25" t="inlineStr">
        <is>
          <t>POWER TOOLS</t>
        </is>
      </c>
      <c r="D168" s="10" t="inlineStr">
        <is>
          <t>TALADRO PERCUTOR MOD. P 2211</t>
        </is>
      </c>
      <c r="E168" s="25" t="n">
        <v>2780</v>
      </c>
    </row>
    <row r="169">
      <c r="A169" s="30" t="inlineStr">
        <is>
          <t>CF 347</t>
        </is>
      </c>
      <c r="B169" s="30" t="inlineStr">
        <is>
          <t>MONCAR</t>
        </is>
      </c>
      <c r="C169" s="26" t="inlineStr">
        <is>
          <t>POWER TOOLS</t>
        </is>
      </c>
      <c r="D169" s="11" t="n"/>
      <c r="E169" s="26" t="n">
        <v>7590</v>
      </c>
    </row>
    <row r="170">
      <c r="A170" s="29" t="inlineStr">
        <is>
          <t>CF 348</t>
        </is>
      </c>
      <c r="B170" s="29" t="inlineStr">
        <is>
          <t>MONCAR</t>
        </is>
      </c>
      <c r="C170" s="25" t="inlineStr">
        <is>
          <t>POWER TOOLS</t>
        </is>
      </c>
      <c r="D170" s="10" t="inlineStr">
        <is>
          <t>ASPIRADORA MOD. V 8340</t>
        </is>
      </c>
      <c r="E170" s="25" t="n">
        <v>5130</v>
      </c>
    </row>
    <row r="171">
      <c r="A171" s="30" t="inlineStr">
        <is>
          <t>CF 349</t>
        </is>
      </c>
      <c r="B171" s="30" t="inlineStr">
        <is>
          <t>MONCAR</t>
        </is>
      </c>
      <c r="C171" s="26" t="inlineStr">
        <is>
          <t>POWER TOOLS</t>
        </is>
      </c>
      <c r="D171" s="11" t="n"/>
      <c r="E171" s="26" t="n">
        <v>2780</v>
      </c>
    </row>
    <row r="172">
      <c r="A172" s="29" t="inlineStr">
        <is>
          <t>CF 350</t>
        </is>
      </c>
      <c r="B172" s="29" t="inlineStr">
        <is>
          <t>MONCAR</t>
        </is>
      </c>
      <c r="C172" s="25" t="inlineStr">
        <is>
          <t>POWER TOOLS</t>
        </is>
      </c>
      <c r="D172" s="10" t="inlineStr">
        <is>
          <t>TALADRO P6113/6513</t>
        </is>
      </c>
      <c r="E172" s="25" t="n">
        <v>2780</v>
      </c>
    </row>
    <row r="173">
      <c r="A173" s="30" t="inlineStr">
        <is>
          <t>CF 351</t>
        </is>
      </c>
      <c r="B173" s="30" t="inlineStr">
        <is>
          <t>MONCAR</t>
        </is>
      </c>
      <c r="C173" s="26" t="inlineStr">
        <is>
          <t>POWER TOOLS</t>
        </is>
      </c>
      <c r="D173" s="11" t="inlineStr">
        <is>
          <t>AMOLADORA 7 Y 9" MOD A-9230/ A-9180</t>
        </is>
      </c>
      <c r="E173" s="26" t="n">
        <v>5160</v>
      </c>
    </row>
    <row r="174">
      <c r="A174" s="29" t="inlineStr">
        <is>
          <t>CF 352</t>
        </is>
      </c>
      <c r="B174" s="29" t="inlineStr">
        <is>
          <t>MONCAR</t>
        </is>
      </c>
      <c r="C174" s="25" t="inlineStr">
        <is>
          <t>POWER TOOLS</t>
        </is>
      </c>
      <c r="D174" s="10" t="inlineStr">
        <is>
          <t>AMOLADORA MOD A-4115 4 1/2" - SIERRA CIRCULAR K-3360</t>
        </is>
      </c>
      <c r="E174" s="25" t="n">
        <v>3030</v>
      </c>
    </row>
    <row r="175">
      <c r="A175" s="30" t="inlineStr">
        <is>
          <t>CF 353</t>
        </is>
      </c>
      <c r="B175" s="30" t="inlineStr">
        <is>
          <t>MONCAR</t>
        </is>
      </c>
      <c r="C175" s="26" t="inlineStr">
        <is>
          <t>POWER TOOLS</t>
        </is>
      </c>
      <c r="D175" s="11" t="inlineStr">
        <is>
          <t>TALADRO 13MM MOD P-8213</t>
        </is>
      </c>
      <c r="E175" s="26" t="n">
        <v>3030</v>
      </c>
    </row>
    <row r="176">
      <c r="A176" s="29" t="inlineStr">
        <is>
          <t>CF 354</t>
        </is>
      </c>
      <c r="B176" s="29" t="inlineStr">
        <is>
          <t>MONCAR</t>
        </is>
      </c>
      <c r="C176" s="25" t="inlineStr">
        <is>
          <t>POWER TOOLS</t>
        </is>
      </c>
      <c r="D176" s="10" t="inlineStr">
        <is>
          <t>TALADRO T 9110 P9616 9213-9214</t>
        </is>
      </c>
      <c r="E176" s="25" t="n">
        <v>3030</v>
      </c>
    </row>
    <row r="177">
      <c r="A177" s="30" t="inlineStr">
        <is>
          <t>CF 355</t>
        </is>
      </c>
      <c r="B177" s="30" t="inlineStr">
        <is>
          <t>MONCAR</t>
        </is>
      </c>
      <c r="C177" s="26" t="inlineStr">
        <is>
          <t>POWER TOOLS</t>
        </is>
      </c>
      <c r="D177" s="11" t="inlineStr">
        <is>
          <t>AMOLADORA 7 Y 9" A-6180/230</t>
        </is>
      </c>
      <c r="E177" s="26" t="n">
        <v>3030</v>
      </c>
    </row>
    <row r="178">
      <c r="A178" s="29" t="inlineStr">
        <is>
          <t>CF 401</t>
        </is>
      </c>
      <c r="B178" s="29" t="inlineStr">
        <is>
          <t>MONCAR</t>
        </is>
      </c>
      <c r="C178" s="25" t="inlineStr">
        <is>
          <t>STANLEY</t>
        </is>
      </c>
      <c r="D178" s="10" t="inlineStr">
        <is>
          <t>AMOL. 7"Y 9"</t>
        </is>
      </c>
      <c r="E178" s="25" t="n">
        <v>4000</v>
      </c>
    </row>
    <row r="179">
      <c r="A179" s="30" t="inlineStr">
        <is>
          <t>CF 402</t>
        </is>
      </c>
      <c r="B179" s="30" t="inlineStr">
        <is>
          <t>MONCAR</t>
        </is>
      </c>
      <c r="C179" s="26" t="inlineStr">
        <is>
          <t>STANLEY</t>
        </is>
      </c>
      <c r="D179" s="11" t="inlineStr">
        <is>
          <t>AMOL. 4 1/2" 8115 AR</t>
        </is>
      </c>
      <c r="E179" s="26" t="n">
        <v>3840</v>
      </c>
    </row>
    <row r="180">
      <c r="A180" s="29" t="inlineStr">
        <is>
          <t>CF 403</t>
        </is>
      </c>
      <c r="B180" s="29" t="inlineStr">
        <is>
          <t>MONCAR</t>
        </is>
      </c>
      <c r="C180" s="25" t="inlineStr">
        <is>
          <t>STANLEY</t>
        </is>
      </c>
      <c r="D180" s="10" t="inlineStr">
        <is>
          <t>MARTILLO</t>
        </is>
      </c>
      <c r="E180" s="25" t="n">
        <v>4440</v>
      </c>
    </row>
    <row r="181">
      <c r="A181" s="30" t="inlineStr">
        <is>
          <t>CF 491</t>
        </is>
      </c>
      <c r="B181" s="30" t="inlineStr">
        <is>
          <t>MONCAR</t>
        </is>
      </c>
      <c r="C181" s="26" t="inlineStr">
        <is>
          <t>STINGRAY</t>
        </is>
      </c>
      <c r="D181" s="11" t="n"/>
      <c r="E181" s="26" t="n">
        <v>5370</v>
      </c>
    </row>
    <row r="182">
      <c r="A182" s="29" t="inlineStr">
        <is>
          <t>CF 492</t>
        </is>
      </c>
      <c r="B182" s="29" t="inlineStr">
        <is>
          <t>MONCAR</t>
        </is>
      </c>
      <c r="C182" s="25" t="inlineStr">
        <is>
          <t>STINGRAY</t>
        </is>
      </c>
      <c r="D182" s="10" t="n"/>
      <c r="E182" s="25" t="n">
        <v>5640</v>
      </c>
    </row>
    <row r="183">
      <c r="A183" s="30" t="inlineStr">
        <is>
          <t>CF 493</t>
        </is>
      </c>
      <c r="B183" s="30" t="inlineStr">
        <is>
          <t>MONCAR</t>
        </is>
      </c>
      <c r="C183" s="26" t="inlineStr">
        <is>
          <t>STINGRAY</t>
        </is>
      </c>
      <c r="D183" s="11" t="inlineStr">
        <is>
          <t>21/KP 08</t>
        </is>
      </c>
      <c r="E183" s="26" t="n">
        <v>3640</v>
      </c>
    </row>
    <row r="184">
      <c r="A184" s="29" t="inlineStr">
        <is>
          <t>CF 494</t>
        </is>
      </c>
      <c r="B184" s="29" t="inlineStr">
        <is>
          <t>MONCAR</t>
        </is>
      </c>
      <c r="C184" s="25" t="inlineStr">
        <is>
          <t>STINGRAY</t>
        </is>
      </c>
      <c r="D184" s="10" t="inlineStr">
        <is>
          <t>CORT. SENSITIVA 14"</t>
        </is>
      </c>
      <c r="E184" s="25" t="n">
        <v>5370</v>
      </c>
    </row>
    <row r="185">
      <c r="A185" s="30" t="inlineStr">
        <is>
          <t>CF 495</t>
        </is>
      </c>
      <c r="B185" s="30" t="inlineStr">
        <is>
          <t>MONCAR</t>
        </is>
      </c>
      <c r="C185" s="26" t="inlineStr">
        <is>
          <t>STINGRAY</t>
        </is>
      </c>
      <c r="D185" s="11" t="inlineStr">
        <is>
          <t>AMOLADORA 4"- SIM 115 SPRO/ BPRO</t>
        </is>
      </c>
      <c r="E185" s="26" t="n">
        <v>2530</v>
      </c>
    </row>
    <row r="186">
      <c r="A186" s="29" t="inlineStr">
        <is>
          <t>CF 496</t>
        </is>
      </c>
      <c r="B186" s="29" t="inlineStr">
        <is>
          <t>MONCAR</t>
        </is>
      </c>
      <c r="C186" s="25" t="inlineStr">
        <is>
          <t>STINGRAY</t>
        </is>
      </c>
      <c r="D186" s="10" t="inlineStr">
        <is>
          <t>MARTILLO ELECTRONEUMATICO MOD. ZIC 26 PRO/ ZIC 12 PRO</t>
        </is>
      </c>
      <c r="E186" s="25" t="n">
        <v>2130</v>
      </c>
    </row>
    <row r="187">
      <c r="A187" s="30" t="inlineStr">
        <is>
          <t>CF 497</t>
        </is>
      </c>
      <c r="B187" s="30" t="inlineStr">
        <is>
          <t>MONCAR</t>
        </is>
      </c>
      <c r="C187" s="26" t="inlineStr">
        <is>
          <t>STINGRAY</t>
        </is>
      </c>
      <c r="D187" s="11" t="inlineStr">
        <is>
          <t>AMOLADORA ANGULAR MOD. SIM 180 C</t>
        </is>
      </c>
      <c r="E187" s="26" t="n">
        <v>3760</v>
      </c>
    </row>
    <row r="188">
      <c r="A188" s="29" t="inlineStr">
        <is>
          <t>CF 498</t>
        </is>
      </c>
      <c r="B188" s="29" t="inlineStr">
        <is>
          <t>MONCAR</t>
        </is>
      </c>
      <c r="C188" s="25" t="inlineStr">
        <is>
          <t>STINGRAY</t>
        </is>
      </c>
      <c r="D188" s="10" t="inlineStr">
        <is>
          <t>SIERRA CIRCULAR PARA CONCRETO MOD. ZIE 180 PRO</t>
        </is>
      </c>
      <c r="E188" s="25" t="n">
        <v>4100</v>
      </c>
    </row>
    <row r="189">
      <c r="A189" s="30" t="inlineStr">
        <is>
          <t>CF 499</t>
        </is>
      </c>
      <c r="B189" s="30" t="inlineStr">
        <is>
          <t>MONCAR</t>
        </is>
      </c>
      <c r="C189" s="26" t="inlineStr">
        <is>
          <t>STINGRAY</t>
        </is>
      </c>
      <c r="D189" s="11" t="inlineStr">
        <is>
          <t>MS 300</t>
        </is>
      </c>
      <c r="E189" s="26" t="n">
        <v>5640</v>
      </c>
    </row>
    <row r="190">
      <c r="A190" s="29" t="inlineStr">
        <is>
          <t>CF 500</t>
        </is>
      </c>
      <c r="B190" s="29" t="inlineStr">
        <is>
          <t>MONCAR</t>
        </is>
      </c>
      <c r="C190" s="25" t="inlineStr">
        <is>
          <t>STINGRAY</t>
        </is>
      </c>
      <c r="D190" s="10" t="inlineStr">
        <is>
          <t>SIM - 115 BO 1135 CON TRABA PORTA CARBON</t>
        </is>
      </c>
      <c r="E190" s="25" t="n">
        <v>2260</v>
      </c>
    </row>
    <row r="191">
      <c r="A191" s="30" t="inlineStr">
        <is>
          <t>CF 501</t>
        </is>
      </c>
      <c r="B191" s="30" t="inlineStr">
        <is>
          <t>MONCAR</t>
        </is>
      </c>
      <c r="C191" s="26" t="inlineStr">
        <is>
          <t>STINGRAY</t>
        </is>
      </c>
      <c r="D191" s="11" t="inlineStr">
        <is>
          <t>AMOLADORA SIM/180</t>
        </is>
      </c>
      <c r="E191" s="26" t="n">
        <v>4280</v>
      </c>
    </row>
    <row r="192">
      <c r="A192" s="29" t="inlineStr">
        <is>
          <t>CF 502</t>
        </is>
      </c>
      <c r="B192" s="29" t="inlineStr">
        <is>
          <t>MONCAR</t>
        </is>
      </c>
      <c r="C192" s="25" t="inlineStr">
        <is>
          <t>SALKOR</t>
        </is>
      </c>
      <c r="D192" s="10" t="inlineStr">
        <is>
          <t>AMOLADORA 4 1/2" AA 216</t>
        </is>
      </c>
      <c r="E192" s="25" t="n">
        <v>2380</v>
      </c>
    </row>
    <row r="193">
      <c r="A193" s="30" t="inlineStr">
        <is>
          <t>CF 503</t>
        </is>
      </c>
      <c r="B193" s="30" t="inlineStr">
        <is>
          <t>MONCAR</t>
        </is>
      </c>
      <c r="C193" s="26" t="inlineStr">
        <is>
          <t>SALKOR</t>
        </is>
      </c>
      <c r="D193" s="11" t="inlineStr">
        <is>
          <t>AMOLADORA 4 1/2" AA 6115 (CON AVISO DE DESGASTE)</t>
        </is>
      </c>
      <c r="E193" s="26" t="n">
        <v>4220</v>
      </c>
    </row>
    <row r="194">
      <c r="A194" s="29" t="inlineStr">
        <is>
          <t>CF 504</t>
        </is>
      </c>
      <c r="B194" s="29" t="inlineStr">
        <is>
          <t>MONCAR</t>
        </is>
      </c>
      <c r="C194" s="25" t="inlineStr">
        <is>
          <t>SALKOR</t>
        </is>
      </c>
      <c r="D194" s="10" t="inlineStr">
        <is>
          <t>TALADRO TP 413 13 MM</t>
        </is>
      </c>
      <c r="E194" s="25" t="n">
        <v>2380</v>
      </c>
    </row>
    <row r="195">
      <c r="A195" s="30" t="inlineStr">
        <is>
          <t>CF 505</t>
        </is>
      </c>
      <c r="B195" s="30" t="inlineStr">
        <is>
          <t>MONCAR</t>
        </is>
      </c>
      <c r="C195" s="26" t="inlineStr">
        <is>
          <t>SALKOR</t>
        </is>
      </c>
      <c r="D195" s="11" t="inlineStr">
        <is>
          <t>SENSITIVA CS 614</t>
        </is>
      </c>
      <c r="E195" s="26" t="n">
        <v>5060</v>
      </c>
    </row>
    <row r="196">
      <c r="A196" s="29" t="inlineStr">
        <is>
          <t>CF 506</t>
        </is>
      </c>
      <c r="B196" s="29" t="inlineStr">
        <is>
          <t>MONCAR</t>
        </is>
      </c>
      <c r="C196" s="25" t="inlineStr">
        <is>
          <t>SALKOR</t>
        </is>
      </c>
      <c r="D196" s="10" t="inlineStr">
        <is>
          <t>GARLOPA</t>
        </is>
      </c>
      <c r="E196" s="25" t="n">
        <v>2200</v>
      </c>
    </row>
    <row r="197">
      <c r="A197" s="30" t="inlineStr">
        <is>
          <t>CF 507</t>
        </is>
      </c>
      <c r="B197" s="30" t="inlineStr">
        <is>
          <t>MONCAR</t>
        </is>
      </c>
      <c r="C197" s="26" t="inlineStr">
        <is>
          <t>SALKOR</t>
        </is>
      </c>
      <c r="D197" s="11" t="inlineStr">
        <is>
          <t>TALADRO TP513/515</t>
        </is>
      </c>
      <c r="E197" s="26" t="n">
        <v>3410</v>
      </c>
    </row>
    <row r="198">
      <c r="A198" s="29" t="inlineStr">
        <is>
          <t>CF 508</t>
        </is>
      </c>
      <c r="B198" s="29" t="inlineStr">
        <is>
          <t>MONCAR</t>
        </is>
      </c>
      <c r="C198" s="25" t="inlineStr">
        <is>
          <t>SALKOR</t>
        </is>
      </c>
      <c r="D198" s="10" t="inlineStr">
        <is>
          <t>SIERA CIRCULAR SC407/508</t>
        </is>
      </c>
      <c r="E198" s="25" t="n">
        <v>4650</v>
      </c>
    </row>
    <row r="199">
      <c r="A199" s="30" t="inlineStr">
        <is>
          <t>CF 509</t>
        </is>
      </c>
      <c r="B199" s="30" t="inlineStr">
        <is>
          <t>MONCAR</t>
        </is>
      </c>
      <c r="C199" s="26" t="inlineStr">
        <is>
          <t>SALKOR</t>
        </is>
      </c>
      <c r="D199" s="11" t="inlineStr">
        <is>
          <t>TALADRO TP 813</t>
        </is>
      </c>
      <c r="E199" s="26" t="n">
        <v>3850</v>
      </c>
    </row>
    <row r="200">
      <c r="A200" s="29" t="inlineStr">
        <is>
          <t>CF 550</t>
        </is>
      </c>
      <c r="B200" s="29" t="inlineStr">
        <is>
          <t>MONCAR</t>
        </is>
      </c>
      <c r="C200" s="25" t="inlineStr">
        <is>
          <t>MAKITA</t>
        </is>
      </c>
      <c r="D200" s="10" t="inlineStr">
        <is>
          <t>CB-415 LLAVE IMPACTO 6905H</t>
        </is>
      </c>
      <c r="E200" s="25" t="n">
        <v>3540</v>
      </c>
    </row>
    <row r="201">
      <c r="A201" s="30" t="inlineStr">
        <is>
          <t>CF 551</t>
        </is>
      </c>
      <c r="B201" s="30" t="inlineStr">
        <is>
          <t>MONCAR</t>
        </is>
      </c>
      <c r="C201" s="26" t="inlineStr">
        <is>
          <t>MAKITA</t>
        </is>
      </c>
      <c r="D201" s="11" t="inlineStr">
        <is>
          <t>CORTADORA DE CERCO 4100 NH</t>
        </is>
      </c>
      <c r="E201" s="26" t="n">
        <v>4070</v>
      </c>
    </row>
    <row r="202">
      <c r="A202" s="29" t="inlineStr">
        <is>
          <t>CF 552</t>
        </is>
      </c>
      <c r="B202" s="29" t="inlineStr">
        <is>
          <t>MONCAR</t>
        </is>
      </c>
      <c r="C202" s="25" t="inlineStr">
        <is>
          <t>MAKITA</t>
        </is>
      </c>
      <c r="D202" s="10" t="inlineStr">
        <is>
          <t>CB 459 AMOLADORA GA 4530 720W</t>
        </is>
      </c>
      <c r="E202" s="25" t="n">
        <v>3050</v>
      </c>
    </row>
    <row r="203">
      <c r="A203" s="30" t="inlineStr">
        <is>
          <t>CF 556</t>
        </is>
      </c>
      <c r="B203" s="30" t="inlineStr">
        <is>
          <t>MONCAR</t>
        </is>
      </c>
      <c r="C203" s="26" t="inlineStr">
        <is>
          <t>MAKITA</t>
        </is>
      </c>
      <c r="D203" s="11" t="inlineStr">
        <is>
          <t>(CB325)AMOL4 1/2 9553/54/55/56/57-MARTILLO HR2230/2300/2450/2460/2470/2800/2810/2811</t>
        </is>
      </c>
      <c r="E203" s="26" t="n">
        <v>4070</v>
      </c>
    </row>
    <row r="204">
      <c r="A204" s="29" t="inlineStr">
        <is>
          <t>CF 557</t>
        </is>
      </c>
      <c r="B204" s="29" t="inlineStr">
        <is>
          <t>MONCAR</t>
        </is>
      </c>
      <c r="C204" s="25" t="inlineStr">
        <is>
          <t>BLACK Y DECKER</t>
        </is>
      </c>
      <c r="D204" s="10" t="inlineStr">
        <is>
          <t>KR500/510/532/ BH100/150/200/300/GL400</t>
        </is>
      </c>
      <c r="E204" s="25" t="n">
        <v>2530</v>
      </c>
    </row>
    <row r="205">
      <c r="A205" s="30" t="inlineStr">
        <is>
          <t>CF 558</t>
        </is>
      </c>
      <c r="B205" s="30" t="inlineStr">
        <is>
          <t>MONCAR</t>
        </is>
      </c>
      <c r="C205" s="26" t="inlineStr">
        <is>
          <t>BLACK Y DECKER</t>
        </is>
      </c>
      <c r="D205" s="11" t="inlineStr">
        <is>
          <t>7935/30 TALADRO</t>
        </is>
      </c>
      <c r="E205" s="26" t="n">
        <v>3540</v>
      </c>
    </row>
    <row r="206">
      <c r="A206" s="29" t="inlineStr">
        <is>
          <t>CF 559</t>
        </is>
      </c>
      <c r="B206" s="29" t="inlineStr">
        <is>
          <t>MONCAR</t>
        </is>
      </c>
      <c r="C206" s="25" t="inlineStr">
        <is>
          <t>BLACK Y DECKER</t>
        </is>
      </c>
      <c r="D206" s="10" t="inlineStr">
        <is>
          <t>BV 1400 SOPLADOR</t>
        </is>
      </c>
      <c r="E206" s="25" t="n">
        <v>4280</v>
      </c>
    </row>
    <row r="207">
      <c r="A207" s="30" t="inlineStr">
        <is>
          <t>CF 560</t>
        </is>
      </c>
      <c r="B207" s="30" t="inlineStr">
        <is>
          <t>MONCAR</t>
        </is>
      </c>
      <c r="C207" s="26" t="inlineStr">
        <is>
          <t>BLACK Y DECKER</t>
        </is>
      </c>
      <c r="D207" s="11" t="n"/>
      <c r="E207" s="26" t="n">
        <v>5300</v>
      </c>
    </row>
    <row r="208">
      <c r="A208" s="29" t="inlineStr">
        <is>
          <t>CF 585</t>
        </is>
      </c>
      <c r="B208" s="29" t="inlineStr">
        <is>
          <t>MONCAR</t>
        </is>
      </c>
      <c r="C208" s="25" t="inlineStr">
        <is>
          <t>ADIABATIC</t>
        </is>
      </c>
      <c r="D208" s="10" t="inlineStr">
        <is>
          <t>EQUIPO DE PINTURA</t>
        </is>
      </c>
      <c r="E208" s="25" t="n">
        <v>6050</v>
      </c>
    </row>
    <row r="209">
      <c r="A209" s="30" t="inlineStr">
        <is>
          <t>CF 586</t>
        </is>
      </c>
      <c r="B209" s="30" t="inlineStr">
        <is>
          <t>MONCAR</t>
        </is>
      </c>
      <c r="C209" s="26" t="inlineStr">
        <is>
          <t>ARGENTEC</t>
        </is>
      </c>
      <c r="D209" s="11" t="inlineStr">
        <is>
          <t>TALADROS MINI 8 Y 10 Nº 210/213/210E/213E/213B</t>
        </is>
      </c>
      <c r="E209" s="26" t="n">
        <v>2780</v>
      </c>
    </row>
    <row r="210">
      <c r="A210" s="29" t="inlineStr">
        <is>
          <t>CF 587</t>
        </is>
      </c>
      <c r="B210" s="29" t="inlineStr">
        <is>
          <t>MONCAR</t>
        </is>
      </c>
      <c r="C210" s="25" t="inlineStr">
        <is>
          <t>ARGENTEC</t>
        </is>
      </c>
      <c r="D210" s="10" t="inlineStr">
        <is>
          <t>AMOL 7¨LIJADORA CIRCULAR 7E / LG 180 C/AVISO DE DESGASTE</t>
        </is>
      </c>
      <c r="E210" s="25" t="n">
        <v>5420</v>
      </c>
    </row>
    <row r="211">
      <c r="A211" s="30" t="inlineStr">
        <is>
          <t>CF 588</t>
        </is>
      </c>
      <c r="B211" s="30" t="inlineStr">
        <is>
          <t>MONCAR</t>
        </is>
      </c>
      <c r="C211" s="26" t="inlineStr">
        <is>
          <t>ARGENTEC</t>
        </is>
      </c>
      <c r="D211" s="11" t="inlineStr">
        <is>
          <t>AMOLADORA 5¨MOD 1385/6WS 14-125 CE INTERRUPTOR LATERAL CON AVISO DESGASTE</t>
        </is>
      </c>
      <c r="E211" s="26" t="n">
        <v>4280</v>
      </c>
    </row>
    <row r="212">
      <c r="A212" s="29" t="inlineStr">
        <is>
          <t>CF 589</t>
        </is>
      </c>
      <c r="B212" s="29" t="inlineStr">
        <is>
          <t>MONCAR</t>
        </is>
      </c>
      <c r="C212" s="25" t="inlineStr">
        <is>
          <t>ARGENTEC</t>
        </is>
      </c>
      <c r="D212" s="10" t="inlineStr">
        <is>
          <t>LIJADORAS - PULIDORAS LIXA</t>
        </is>
      </c>
      <c r="E212" s="25" t="n">
        <v>3760</v>
      </c>
    </row>
    <row r="213">
      <c r="A213" s="30" t="inlineStr">
        <is>
          <t>CF 590</t>
        </is>
      </c>
      <c r="B213" s="30" t="inlineStr">
        <is>
          <t>MONCAR</t>
        </is>
      </c>
      <c r="C213" s="26" t="inlineStr">
        <is>
          <t>ADIABATIC</t>
        </is>
      </c>
      <c r="D213" s="11" t="inlineStr">
        <is>
          <t>EQUIPO DE PINTURA</t>
        </is>
      </c>
      <c r="E213" s="26" t="n">
        <v>3540</v>
      </c>
    </row>
    <row r="214">
      <c r="A214" s="29" t="inlineStr">
        <is>
          <t>CF 591</t>
        </is>
      </c>
      <c r="B214" s="29" t="inlineStr">
        <is>
          <t>MONCAR</t>
        </is>
      </c>
      <c r="C214" s="29" t="inlineStr">
        <is>
          <t>ARGENTEC</t>
        </is>
      </c>
      <c r="D214" s="10" t="inlineStr">
        <is>
          <t>TALADROS MARK- NIG- NTX- LO- LV</t>
        </is>
      </c>
      <c r="E214" s="25" t="n">
        <v>3540</v>
      </c>
    </row>
    <row r="215">
      <c r="A215" s="30" t="inlineStr">
        <is>
          <t>CF 600</t>
        </is>
      </c>
      <c r="B215" s="30" t="inlineStr">
        <is>
          <t>MONCAR</t>
        </is>
      </c>
      <c r="C215" s="30" t="inlineStr">
        <is>
          <t>BLACK Y DECKER</t>
        </is>
      </c>
      <c r="D215" s="11" t="inlineStr">
        <is>
          <t>SIERRA CIRCULAR 7359/7308</t>
        </is>
      </c>
      <c r="E215" s="26" t="n">
        <v>5060</v>
      </c>
    </row>
    <row r="216">
      <c r="A216" s="29" t="inlineStr">
        <is>
          <t>CF 602</t>
        </is>
      </c>
      <c r="B216" s="29" t="inlineStr">
        <is>
          <t>MONCAR</t>
        </is>
      </c>
      <c r="C216" s="29" t="inlineStr">
        <is>
          <t>BLACK Y DECKER</t>
        </is>
      </c>
      <c r="D216" s="10" t="inlineStr">
        <is>
          <t>AMOLADORA DE 4" CON AVISO DE DESGASTE</t>
        </is>
      </c>
      <c r="E216" s="25" t="n">
        <v>3540</v>
      </c>
    </row>
    <row r="217">
      <c r="A217" s="30" t="inlineStr">
        <is>
          <t>CF 603</t>
        </is>
      </c>
      <c r="B217" s="30" t="inlineStr">
        <is>
          <t>MONCAR</t>
        </is>
      </c>
      <c r="C217" s="30" t="inlineStr">
        <is>
          <t>BLACK Y DECKER</t>
        </is>
      </c>
      <c r="D217" s="11" t="inlineStr">
        <is>
          <t>PULIDORA MOD. 6138- 40</t>
        </is>
      </c>
      <c r="E217" s="26" t="n">
        <v>3760</v>
      </c>
    </row>
    <row r="218">
      <c r="A218" s="29" t="inlineStr">
        <is>
          <t>CF 604</t>
        </is>
      </c>
      <c r="B218" s="29" t="inlineStr">
        <is>
          <t>MONCAR</t>
        </is>
      </c>
      <c r="C218" s="29" t="inlineStr">
        <is>
          <t>BLACK Y DECKER</t>
        </is>
      </c>
      <c r="D218" s="10" t="inlineStr">
        <is>
          <t>KG 2000/KG 2001 (CON AVISO DE DESGASTE)</t>
        </is>
      </c>
      <c r="E218" s="25" t="n">
        <v>5640</v>
      </c>
    </row>
    <row r="219">
      <c r="A219" s="30" t="inlineStr">
        <is>
          <t>CF 605</t>
        </is>
      </c>
      <c r="B219" s="30" t="inlineStr">
        <is>
          <t>MONCAR</t>
        </is>
      </c>
      <c r="C219" s="30" t="inlineStr">
        <is>
          <t>BLACK Y DECKER</t>
        </is>
      </c>
      <c r="D219" s="11" t="inlineStr">
        <is>
          <t>ROTOPERCUTOR P 8020 CON AVISO DE DESGASTE</t>
        </is>
      </c>
      <c r="E219" s="26" t="n">
        <v>4270</v>
      </c>
    </row>
    <row r="220">
      <c r="A220" s="29" t="inlineStr">
        <is>
          <t>CF 606</t>
        </is>
      </c>
      <c r="B220" s="29" t="inlineStr">
        <is>
          <t>MONCAR</t>
        </is>
      </c>
      <c r="C220" s="29" t="inlineStr">
        <is>
          <t>BLACK Y DECKER</t>
        </is>
      </c>
      <c r="D220" s="10" t="inlineStr">
        <is>
          <t>AMOLADORA DE 4" 1/2- KG 10 / KG 11 CON AVISO DE DESGASTE</t>
        </is>
      </c>
      <c r="E220" s="25" t="n">
        <v>3540</v>
      </c>
    </row>
    <row r="221">
      <c r="A221" s="30" t="inlineStr">
        <is>
          <t>CF 608</t>
        </is>
      </c>
      <c r="B221" s="30" t="inlineStr">
        <is>
          <t>MONCAR</t>
        </is>
      </c>
      <c r="C221" s="30" t="inlineStr">
        <is>
          <t>BLACK Y DECKER</t>
        </is>
      </c>
      <c r="D221" s="11" t="inlineStr">
        <is>
          <t>AMOLADOR DE 4 1/2" - KG 62 / KG 65</t>
        </is>
      </c>
      <c r="E221" s="26" t="n">
        <v>3540</v>
      </c>
    </row>
    <row r="222">
      <c r="A222" s="29" t="inlineStr">
        <is>
          <t>CF 609</t>
        </is>
      </c>
      <c r="B222" s="29" t="inlineStr">
        <is>
          <t>MONCAR</t>
        </is>
      </c>
      <c r="C222" s="29" t="inlineStr">
        <is>
          <t>BOSCH</t>
        </is>
      </c>
      <c r="D222" s="10" t="inlineStr">
        <is>
          <t>CON AVISO DE DESGASTE</t>
        </is>
      </c>
      <c r="E222" s="25" t="n">
        <v>5060</v>
      </c>
    </row>
    <row r="223">
      <c r="A223" s="30" t="inlineStr">
        <is>
          <t>CF 610</t>
        </is>
      </c>
      <c r="B223" s="30" t="inlineStr">
        <is>
          <t>MONCAR</t>
        </is>
      </c>
      <c r="C223" s="30" t="inlineStr">
        <is>
          <t>BOSCH</t>
        </is>
      </c>
      <c r="D223" s="11" t="inlineStr">
        <is>
          <t>MARTILLO MOD. 11304 CON AVISO DE DESGASTE</t>
        </is>
      </c>
      <c r="E223" s="26" t="n">
        <v>5640</v>
      </c>
    </row>
    <row r="224">
      <c r="A224" s="29" t="inlineStr">
        <is>
          <t>CF 611</t>
        </is>
      </c>
      <c r="B224" s="29" t="inlineStr">
        <is>
          <t>MONCAR</t>
        </is>
      </c>
      <c r="C224" s="29" t="inlineStr">
        <is>
          <t>BOSCH</t>
        </is>
      </c>
      <c r="D224" s="10" t="inlineStr">
        <is>
          <t>AMOL. 5" -GWS 10-125/GWS 11-125CI/GWS 14-125/14-125INOX/GWS 15-125 (C. AVISO)</t>
        </is>
      </c>
      <c r="E224" s="25" t="n">
        <v>4280</v>
      </c>
    </row>
    <row r="225">
      <c r="A225" s="30" t="inlineStr">
        <is>
          <t>CF 612</t>
        </is>
      </c>
      <c r="B225" s="30" t="inlineStr">
        <is>
          <t>MONCAR</t>
        </is>
      </c>
      <c r="C225" s="30" t="inlineStr">
        <is>
          <t>BOSCH</t>
        </is>
      </c>
      <c r="D225" s="11" t="inlineStr">
        <is>
          <t>AMOLADORA DE 4 1/2 MODELO NUEVO (CON AVISO)</t>
        </is>
      </c>
      <c r="E225" s="26" t="n">
        <v>4070</v>
      </c>
    </row>
    <row r="226">
      <c r="A226" s="29" t="inlineStr">
        <is>
          <t>CF 613</t>
        </is>
      </c>
      <c r="B226" s="29" t="inlineStr">
        <is>
          <t>MONCAR</t>
        </is>
      </c>
      <c r="C226" s="29" t="inlineStr">
        <is>
          <t>BOSCH</t>
        </is>
      </c>
      <c r="D226" s="10" t="inlineStr">
        <is>
          <t>CON AVISO DE DESGASTE</t>
        </is>
      </c>
      <c r="E226" s="25" t="n">
        <v>5730</v>
      </c>
    </row>
    <row r="227">
      <c r="A227" s="30" t="inlineStr">
        <is>
          <t>CF 614</t>
        </is>
      </c>
      <c r="B227" s="30" t="inlineStr">
        <is>
          <t>MONCAR</t>
        </is>
      </c>
      <c r="C227" s="30" t="inlineStr">
        <is>
          <t>BOSCH</t>
        </is>
      </c>
      <c r="D227" s="11" t="inlineStr">
        <is>
          <t>AMOLADORA MOD. 1793</t>
        </is>
      </c>
      <c r="E227" s="26" t="n">
        <v>4070</v>
      </c>
    </row>
    <row r="228">
      <c r="A228" s="29" t="inlineStr">
        <is>
          <t>CF 615</t>
        </is>
      </c>
      <c r="B228" s="29" t="inlineStr">
        <is>
          <t>MONCAR</t>
        </is>
      </c>
      <c r="C228" s="29" t="inlineStr">
        <is>
          <t>BOSCH</t>
        </is>
      </c>
      <c r="D228" s="10" t="inlineStr">
        <is>
          <t>ROTOPERCUTOR</t>
        </is>
      </c>
      <c r="E228" s="25" t="n">
        <v>3540</v>
      </c>
    </row>
    <row r="229">
      <c r="A229" s="30" t="inlineStr">
        <is>
          <t>CF 616</t>
        </is>
      </c>
      <c r="B229" s="30" t="inlineStr">
        <is>
          <t>MONCAR</t>
        </is>
      </c>
      <c r="C229" s="30" t="inlineStr">
        <is>
          <t>BOSCH</t>
        </is>
      </c>
      <c r="D229" s="11" t="inlineStr">
        <is>
          <t>TALADRO HOBBISTA</t>
        </is>
      </c>
      <c r="E229" s="26" t="n">
        <v>3540</v>
      </c>
    </row>
    <row r="230">
      <c r="A230" s="29" t="inlineStr">
        <is>
          <t>CF 617</t>
        </is>
      </c>
      <c r="B230" s="29" t="inlineStr">
        <is>
          <t>MONCAR</t>
        </is>
      </c>
      <c r="C230" s="29" t="inlineStr">
        <is>
          <t>DE WALT</t>
        </is>
      </c>
      <c r="D230" s="10" t="inlineStr">
        <is>
          <t>LIJ. BANDA DW 430/ REBAJ. DE COLUM. DW 614 CEP. SW 675-44 3070</t>
        </is>
      </c>
      <c r="E230" s="25" t="n">
        <v>3050</v>
      </c>
    </row>
    <row r="231">
      <c r="A231" s="30" t="inlineStr">
        <is>
          <t>CF 618</t>
        </is>
      </c>
      <c r="B231" s="30" t="inlineStr">
        <is>
          <t>MONCAR</t>
        </is>
      </c>
      <c r="C231" s="30" t="inlineStr">
        <is>
          <t>DE WALT</t>
        </is>
      </c>
      <c r="D231" s="11" t="inlineStr">
        <is>
          <t>SIERRA CIR.DW368/DW358/DW389/DW705/DW352/DW366/DW359</t>
        </is>
      </c>
      <c r="E231" s="26" t="n">
        <v>4070</v>
      </c>
    </row>
    <row r="232">
      <c r="A232" s="29" t="inlineStr">
        <is>
          <t>CF 619</t>
        </is>
      </c>
      <c r="B232" s="29" t="inlineStr">
        <is>
          <t>MONCAR</t>
        </is>
      </c>
      <c r="C232" s="29" t="inlineStr">
        <is>
          <t>DE WALT</t>
        </is>
      </c>
      <c r="D232" s="10" t="inlineStr">
        <is>
          <t>SIERRA CIRC. 7 1/4" DW 352/ SIERRA VAIVEN DW 304/ PULID. DW 849</t>
        </is>
      </c>
      <c r="E232" s="25" t="n">
        <v>6080</v>
      </c>
    </row>
    <row r="233">
      <c r="A233" s="30" t="inlineStr">
        <is>
          <t>CF 620</t>
        </is>
      </c>
      <c r="B233" s="30" t="inlineStr">
        <is>
          <t>MONCAR</t>
        </is>
      </c>
      <c r="C233" s="30" t="inlineStr">
        <is>
          <t>DE WALT</t>
        </is>
      </c>
      <c r="D233" s="11" t="inlineStr">
        <is>
          <t>SENSITIVA DW28700</t>
        </is>
      </c>
      <c r="E233" s="26" t="n">
        <v>5180</v>
      </c>
    </row>
    <row r="234">
      <c r="A234" s="29" t="inlineStr">
        <is>
          <t>CF 621</t>
        </is>
      </c>
      <c r="B234" s="29" t="inlineStr">
        <is>
          <t>MONCAR</t>
        </is>
      </c>
      <c r="C234" s="29" t="inlineStr">
        <is>
          <t>DE WALT</t>
        </is>
      </c>
      <c r="D234" s="10" t="inlineStr">
        <is>
          <t>TALADRO ROTOPERCUTOR DW 514/ 523 3067</t>
        </is>
      </c>
      <c r="E234" s="25" t="n">
        <v>4070</v>
      </c>
    </row>
    <row r="235">
      <c r="A235" s="30" t="inlineStr">
        <is>
          <t>CF 622</t>
        </is>
      </c>
      <c r="B235" s="30" t="inlineStr">
        <is>
          <t>MONCAR</t>
        </is>
      </c>
      <c r="C235" s="30" t="inlineStr">
        <is>
          <t>DE WALT</t>
        </is>
      </c>
      <c r="D235" s="11" t="inlineStr">
        <is>
          <t>CON AVISO DE DESGASTE LUMINICO</t>
        </is>
      </c>
      <c r="E235" s="26" t="n">
        <v>4950</v>
      </c>
    </row>
    <row r="236">
      <c r="A236" s="29" t="inlineStr">
        <is>
          <t>CF 623</t>
        </is>
      </c>
      <c r="B236" s="29" t="inlineStr">
        <is>
          <t>MONCAR</t>
        </is>
      </c>
      <c r="C236" s="29" t="inlineStr">
        <is>
          <t>DOWEN PAGGIO</t>
        </is>
      </c>
      <c r="D236" s="10" t="inlineStr">
        <is>
          <t>AMOL. 7"- LIJADORA CIRCULAR 7E / LG 180 CON AVISO DE DESGASTE</t>
        </is>
      </c>
      <c r="E236" s="25" t="n">
        <v>5420</v>
      </c>
    </row>
    <row r="237">
      <c r="A237" s="30" t="inlineStr">
        <is>
          <t>CF 628</t>
        </is>
      </c>
      <c r="B237" s="30" t="inlineStr">
        <is>
          <t>MONCAR</t>
        </is>
      </c>
      <c r="C237" s="30" t="inlineStr">
        <is>
          <t>HITACHI</t>
        </is>
      </c>
      <c r="D237" s="11" t="inlineStr">
        <is>
          <t>DU 10- DUT 10/ 13- VTP 10/ 13- DUV 13- DMV 13- DVR 10/ 13- VTV 10/ 13 A</t>
        </is>
      </c>
      <c r="E237" s="26" t="n">
        <v>3860</v>
      </c>
    </row>
    <row r="238">
      <c r="A238" s="29" t="inlineStr">
        <is>
          <t>CF 629</t>
        </is>
      </c>
      <c r="B238" s="29" t="inlineStr">
        <is>
          <t>MONCAR</t>
        </is>
      </c>
      <c r="C238" s="29" t="inlineStr">
        <is>
          <t>HITACHI</t>
        </is>
      </c>
      <c r="D238" s="10" t="inlineStr">
        <is>
          <t>DL 117</t>
        </is>
      </c>
      <c r="E238" s="25" t="n">
        <v>3730</v>
      </c>
    </row>
    <row r="239">
      <c r="A239" s="30" t="inlineStr">
        <is>
          <t>CF 630</t>
        </is>
      </c>
      <c r="B239" s="30" t="inlineStr">
        <is>
          <t>MONCAR</t>
        </is>
      </c>
      <c r="C239" s="30" t="inlineStr">
        <is>
          <t>HITACHI</t>
        </is>
      </c>
      <c r="D239" s="11" t="inlineStr">
        <is>
          <t>SO 110-SOD 110- VTP 19-VRT 22/ 22 A- DMT 13- VRV 16</t>
        </is>
      </c>
      <c r="E239" s="26" t="n">
        <v>3730</v>
      </c>
    </row>
    <row r="240">
      <c r="A240" s="29" t="inlineStr">
        <is>
          <t>CF 631</t>
        </is>
      </c>
      <c r="B240" s="29" t="inlineStr">
        <is>
          <t>MONCAR</t>
        </is>
      </c>
      <c r="C240" s="29" t="inlineStr">
        <is>
          <t>HITACHI</t>
        </is>
      </c>
      <c r="D240" s="10" t="inlineStr">
        <is>
          <t>LUK- RN/ NUK- RN</t>
        </is>
      </c>
      <c r="E240" s="25" t="n">
        <v>3470</v>
      </c>
    </row>
    <row r="241">
      <c r="A241" s="30" t="inlineStr">
        <is>
          <t>CF 632</t>
        </is>
      </c>
      <c r="B241" s="30" t="inlineStr">
        <is>
          <t>MONCAR</t>
        </is>
      </c>
      <c r="C241" s="30" t="inlineStr">
        <is>
          <t>HITACHI</t>
        </is>
      </c>
      <c r="D241" s="11" t="inlineStr">
        <is>
          <t>C 16- LA 12</t>
        </is>
      </c>
      <c r="E241" s="26" t="n">
        <v>3840</v>
      </c>
    </row>
    <row r="242">
      <c r="A242" s="29" t="inlineStr">
        <is>
          <t>CF 634</t>
        </is>
      </c>
      <c r="B242" s="29" t="inlineStr">
        <is>
          <t>MONCAR</t>
        </is>
      </c>
      <c r="C242" s="29" t="inlineStr">
        <is>
          <t>MAKITA</t>
        </is>
      </c>
      <c r="D242" s="10" t="inlineStr">
        <is>
          <t>(CB 51)AMOL.ANG9514BH-TAL.6300/6016/8419/8422-LIJADORA BANDA9404-CEPILLO1900B</t>
        </is>
      </c>
      <c r="E242" s="25" t="n">
        <v>0</v>
      </c>
    </row>
    <row r="243">
      <c r="A243" s="30" t="inlineStr">
        <is>
          <t>CF 635</t>
        </is>
      </c>
      <c r="B243" s="30" t="inlineStr">
        <is>
          <t>MONCAR</t>
        </is>
      </c>
      <c r="C243" s="30" t="inlineStr">
        <is>
          <t>MAKITA</t>
        </is>
      </c>
      <c r="D243" s="11" t="inlineStr">
        <is>
          <t>(CB411)AMOL.4 1/2"9521/9524/9527/6500- LIJ.BA. 99H/9031/9032/9910/9911-CEPI. MKP080/082</t>
        </is>
      </c>
      <c r="E243" s="26" t="n">
        <v>0</v>
      </c>
    </row>
    <row r="244">
      <c r="A244" s="29" t="inlineStr">
        <is>
          <t>CF 636</t>
        </is>
      </c>
      <c r="B244" s="29" t="inlineStr">
        <is>
          <t>MONCAR</t>
        </is>
      </c>
      <c r="C244" s="29" t="inlineStr">
        <is>
          <t>METABO</t>
        </is>
      </c>
      <c r="D244" s="10" t="inlineStr">
        <is>
          <t>088- CALADORA ST 450</t>
        </is>
      </c>
      <c r="E244" s="25" t="n">
        <v>2020</v>
      </c>
    </row>
    <row r="245">
      <c r="A245" s="30" t="inlineStr">
        <is>
          <t>CF 637</t>
        </is>
      </c>
      <c r="B245" s="30" t="inlineStr">
        <is>
          <t>MONCAR</t>
        </is>
      </c>
      <c r="C245" s="30" t="inlineStr">
        <is>
          <t>METABO</t>
        </is>
      </c>
      <c r="D245" s="11" t="inlineStr">
        <is>
          <t>149/ 164- LIJ. TAL. BE 720/25 RX2/B800/25- AMOL MFE-5/SH EW125/BA ODS</t>
        </is>
      </c>
      <c r="E245" s="26" t="n">
        <v>4270</v>
      </c>
    </row>
    <row r="246">
      <c r="A246" s="29" t="inlineStr">
        <is>
          <t>CF 638</t>
        </is>
      </c>
      <c r="B246" s="29" t="inlineStr">
        <is>
          <t>MONCAR</t>
        </is>
      </c>
      <c r="C246" s="29" t="inlineStr">
        <is>
          <t>METABO</t>
        </is>
      </c>
      <c r="D246" s="10" t="inlineStr">
        <is>
          <t>135- CEPILLO HO 882</t>
        </is>
      </c>
      <c r="E246" s="25" t="n">
        <v>2260</v>
      </c>
    </row>
    <row r="247">
      <c r="A247" s="30" t="inlineStr">
        <is>
          <t>CF 639</t>
        </is>
      </c>
      <c r="B247" s="30" t="inlineStr">
        <is>
          <t>MONCAR</t>
        </is>
      </c>
      <c r="C247" s="30" t="inlineStr">
        <is>
          <t>METABO</t>
        </is>
      </c>
      <c r="D247" s="11" t="inlineStr">
        <is>
          <t>163- TALADROS T10/ B10/ T13/ SB 613/ SBE 13</t>
        </is>
      </c>
      <c r="E247" s="26" t="n">
        <v>3060</v>
      </c>
    </row>
    <row r="248">
      <c r="A248" s="29" t="inlineStr">
        <is>
          <t>CF 640</t>
        </is>
      </c>
      <c r="B248" s="29" t="inlineStr">
        <is>
          <t>MONCAR</t>
        </is>
      </c>
      <c r="C248" s="29" t="inlineStr">
        <is>
          <t>METABO</t>
        </is>
      </c>
      <c r="D248" s="10" t="inlineStr">
        <is>
          <t>CON AVISO DE DESGASTE</t>
        </is>
      </c>
      <c r="E248" s="25" t="n">
        <v>5370</v>
      </c>
    </row>
    <row r="249">
      <c r="A249" s="30" t="inlineStr">
        <is>
          <t>CF 642</t>
        </is>
      </c>
      <c r="B249" s="30" t="inlineStr">
        <is>
          <t>MONCAR</t>
        </is>
      </c>
      <c r="C249" s="30" t="inlineStr">
        <is>
          <t>METABO</t>
        </is>
      </c>
      <c r="D249" s="11" t="inlineStr">
        <is>
          <t>CON AVISO DESGASTE</t>
        </is>
      </c>
      <c r="E249" s="26" t="n">
        <v>4280</v>
      </c>
    </row>
    <row r="250">
      <c r="A250" s="29" t="inlineStr">
        <is>
          <t>CF 643</t>
        </is>
      </c>
      <c r="B250" s="29" t="inlineStr">
        <is>
          <t>MONCAR</t>
        </is>
      </c>
      <c r="C250" s="29" t="inlineStr">
        <is>
          <t>METABO</t>
        </is>
      </c>
      <c r="D250" s="10" t="inlineStr">
        <is>
          <t>122/ 288- TALADROS TG 22 S - ETC.</t>
        </is>
      </c>
      <c r="E250" s="25" t="n">
        <v>3280</v>
      </c>
    </row>
    <row r="251">
      <c r="A251" s="30" t="inlineStr">
        <is>
          <t>CF 644</t>
        </is>
      </c>
      <c r="B251" s="30" t="inlineStr">
        <is>
          <t>MONCAR</t>
        </is>
      </c>
      <c r="C251" s="30" t="inlineStr">
        <is>
          <t>METABO</t>
        </is>
      </c>
      <c r="D251" s="11" t="inlineStr">
        <is>
          <t>177- AMOL. 7" Y 9" MOD. 2280/ 1- 21230/ 23180- 2018 Y 2030 2000W</t>
        </is>
      </c>
      <c r="E251" s="26" t="n">
        <v>5590</v>
      </c>
    </row>
    <row r="252">
      <c r="A252" s="29" t="inlineStr">
        <is>
          <t>CF 645</t>
        </is>
      </c>
      <c r="B252" s="29" t="inlineStr">
        <is>
          <t>MONCAR</t>
        </is>
      </c>
      <c r="C252" s="29" t="inlineStr">
        <is>
          <t>PEUGEOT</t>
        </is>
      </c>
      <c r="D252" s="10" t="inlineStr">
        <is>
          <t>LIJADORA DE BANDA 600 W</t>
        </is>
      </c>
      <c r="E252" s="25" t="n">
        <v>2530</v>
      </c>
    </row>
    <row r="253">
      <c r="A253" s="30" t="inlineStr">
        <is>
          <t>CF 648</t>
        </is>
      </c>
      <c r="B253" s="30" t="inlineStr">
        <is>
          <t>MONCAR</t>
        </is>
      </c>
      <c r="C253" s="30" t="inlineStr">
        <is>
          <t>SKIL</t>
        </is>
      </c>
      <c r="D253" s="11" t="inlineStr">
        <is>
          <t>AMOLADORA 4 1/2 9002AR</t>
        </is>
      </c>
      <c r="E253" s="26" t="n">
        <v>2780</v>
      </c>
    </row>
    <row r="254">
      <c r="A254" s="29" t="inlineStr">
        <is>
          <t>CF 649</t>
        </is>
      </c>
      <c r="B254" s="29" t="inlineStr">
        <is>
          <t>MONCAR</t>
        </is>
      </c>
      <c r="C254" s="29" t="inlineStr">
        <is>
          <t>SKIL</t>
        </is>
      </c>
      <c r="D254" s="10" t="inlineStr">
        <is>
          <t>AMOLADORA 4 1/2" 9230</t>
        </is>
      </c>
      <c r="E254" s="25" t="n">
        <v>3760</v>
      </c>
    </row>
    <row r="255">
      <c r="A255" s="30" t="inlineStr">
        <is>
          <t>CF 650</t>
        </is>
      </c>
      <c r="B255" s="30" t="inlineStr">
        <is>
          <t>MONCAR</t>
        </is>
      </c>
      <c r="C255" s="30" t="inlineStr">
        <is>
          <t>SKIL</t>
        </is>
      </c>
      <c r="D255" s="11" t="inlineStr">
        <is>
          <t>AMOLADORA 9" 9980</t>
        </is>
      </c>
      <c r="E255" s="26" t="n">
        <v>5370</v>
      </c>
    </row>
    <row r="256">
      <c r="A256" s="29" t="inlineStr">
        <is>
          <t>CF 651</t>
        </is>
      </c>
      <c r="B256" s="29" t="inlineStr">
        <is>
          <t>MONCAR</t>
        </is>
      </c>
      <c r="C256" s="29" t="inlineStr">
        <is>
          <t>SKIL</t>
        </is>
      </c>
      <c r="D256" s="10" t="inlineStr">
        <is>
          <t>TALADRO ROTOPERCUTOR 1759 650W</t>
        </is>
      </c>
      <c r="E256" s="25" t="n">
        <v>2900</v>
      </c>
    </row>
    <row r="257">
      <c r="A257" s="30" t="inlineStr">
        <is>
          <t>CF 652</t>
        </is>
      </c>
      <c r="B257" s="30" t="inlineStr">
        <is>
          <t>MONCAR</t>
        </is>
      </c>
      <c r="C257" s="30" t="inlineStr">
        <is>
          <t>SKIL</t>
        </is>
      </c>
      <c r="D257" s="11" t="inlineStr">
        <is>
          <t>AMOLADORA 4 1/2" 9002</t>
        </is>
      </c>
      <c r="E257" s="26" t="n">
        <v>2920</v>
      </c>
    </row>
    <row r="258">
      <c r="A258" s="29" t="inlineStr">
        <is>
          <t>CF 653</t>
        </is>
      </c>
      <c r="B258" s="29" t="inlineStr">
        <is>
          <t>MONCAR</t>
        </is>
      </c>
      <c r="C258" s="29" t="inlineStr">
        <is>
          <t>SKIL</t>
        </is>
      </c>
      <c r="D258" s="10" t="inlineStr">
        <is>
          <t>AMOLADORA 7" MOD 9651/9652- 80 1800W</t>
        </is>
      </c>
      <c r="E258" s="25" t="n">
        <v>5640</v>
      </c>
    </row>
    <row r="259">
      <c r="A259" s="30" t="inlineStr">
        <is>
          <t>CF 654</t>
        </is>
      </c>
      <c r="B259" s="30" t="inlineStr">
        <is>
          <t>MONCAR</t>
        </is>
      </c>
      <c r="C259" s="30" t="inlineStr">
        <is>
          <t>SKIL</t>
        </is>
      </c>
      <c r="D259" s="11" t="inlineStr">
        <is>
          <t>TALADRO 13MM MOD 6438</t>
        </is>
      </c>
      <c r="E259" s="26" t="n">
        <v>2260</v>
      </c>
    </row>
    <row r="260">
      <c r="A260" s="29" t="inlineStr">
        <is>
          <t>CF 655</t>
        </is>
      </c>
      <c r="B260" s="29" t="inlineStr">
        <is>
          <t>MONCAR</t>
        </is>
      </c>
      <c r="C260" s="29" t="inlineStr">
        <is>
          <t>SKIL</t>
        </is>
      </c>
      <c r="D260" s="10" t="inlineStr">
        <is>
          <t>AMOLADORA ANGULAR 4 1/2" 115MM MOD 9003 720W</t>
        </is>
      </c>
      <c r="E260" s="25" t="n">
        <v>2780</v>
      </c>
    </row>
    <row r="261">
      <c r="A261" s="30" t="inlineStr">
        <is>
          <t>CF 656</t>
        </is>
      </c>
      <c r="B261" s="30" t="inlineStr">
        <is>
          <t>MONCAR</t>
        </is>
      </c>
      <c r="C261" s="30" t="inlineStr">
        <is>
          <t>SKIL</t>
        </is>
      </c>
      <c r="D261" s="11" t="inlineStr">
        <is>
          <t>TALADRO CON PERCUTOR 10MM 450W</t>
        </is>
      </c>
      <c r="E261" s="26" t="n">
        <v>3540</v>
      </c>
    </row>
    <row r="262">
      <c r="A262" s="29" t="inlineStr">
        <is>
          <t>CF 657</t>
        </is>
      </c>
      <c r="B262" s="29" t="inlineStr">
        <is>
          <t>MONCAR</t>
        </is>
      </c>
      <c r="C262" s="29" t="inlineStr">
        <is>
          <t>SKIL</t>
        </is>
      </c>
      <c r="D262" s="10" t="inlineStr">
        <is>
          <t>SIERRA CIRCULAR 7 1/4 MOD 5300</t>
        </is>
      </c>
      <c r="E262" s="25" t="n">
        <v>5530</v>
      </c>
    </row>
    <row r="263">
      <c r="A263" s="30" t="inlineStr">
        <is>
          <t>CF 658</t>
        </is>
      </c>
      <c r="B263" s="30" t="inlineStr">
        <is>
          <t>MONCAR</t>
        </is>
      </c>
      <c r="C263" s="30" t="inlineStr">
        <is>
          <t>SKIL</t>
        </is>
      </c>
      <c r="D263" s="11" t="inlineStr">
        <is>
          <t>AMOLADORA ANGULAR 4 1/2" 115MM MOD 9004</t>
        </is>
      </c>
      <c r="E263" s="26" t="n">
        <v>2780</v>
      </c>
    </row>
    <row r="264">
      <c r="A264" s="29" t="inlineStr">
        <is>
          <t>CF 659</t>
        </is>
      </c>
      <c r="B264" s="29" t="inlineStr">
        <is>
          <t>MONCAR</t>
        </is>
      </c>
      <c r="C264" s="29" t="inlineStr">
        <is>
          <t>SKIL</t>
        </is>
      </c>
      <c r="D264" s="10" t="inlineStr">
        <is>
          <t>AMOLADORA ANGULAR 4 1/2" 115MM MOD 9006</t>
        </is>
      </c>
      <c r="E264" s="25" t="n">
        <v>2530</v>
      </c>
    </row>
    <row r="265">
      <c r="A265" s="30" t="inlineStr">
        <is>
          <t>CF 660</t>
        </is>
      </c>
      <c r="B265" s="30" t="inlineStr">
        <is>
          <t>MONCAR</t>
        </is>
      </c>
      <c r="C265" s="30" t="inlineStr">
        <is>
          <t>SKIL</t>
        </is>
      </c>
      <c r="D265" s="11" t="inlineStr">
        <is>
          <t>SIERRAS MOD. 5150/ 5250</t>
        </is>
      </c>
      <c r="E265" s="26" t="n">
        <v>3730</v>
      </c>
    </row>
    <row r="266">
      <c r="A266" s="29" t="inlineStr">
        <is>
          <t>CF 661</t>
        </is>
      </c>
      <c r="B266" s="29" t="inlineStr">
        <is>
          <t>MONCAR</t>
        </is>
      </c>
      <c r="C266" s="29" t="inlineStr">
        <is>
          <t>SKIL</t>
        </is>
      </c>
      <c r="D266" s="10" t="inlineStr">
        <is>
          <t>AMOLADORA 4 1/2" MOD. 9410</t>
        </is>
      </c>
      <c r="E266" s="25" t="n">
        <v>3760</v>
      </c>
    </row>
    <row r="267">
      <c r="A267" s="30" t="inlineStr">
        <is>
          <t>CF 662</t>
        </is>
      </c>
      <c r="B267" s="30" t="inlineStr">
        <is>
          <t>MONCAR</t>
        </is>
      </c>
      <c r="C267" s="30" t="inlineStr">
        <is>
          <t>STAYER</t>
        </is>
      </c>
      <c r="D267" s="11" t="inlineStr">
        <is>
          <t>AMOLADORAS 7" Y 9" (MODELO VIEJO)</t>
        </is>
      </c>
      <c r="E267" s="26" t="n">
        <v>4800</v>
      </c>
    </row>
    <row r="268">
      <c r="A268" s="29" t="inlineStr">
        <is>
          <t>CF 663</t>
        </is>
      </c>
      <c r="B268" s="29" t="inlineStr">
        <is>
          <t>MONCAR</t>
        </is>
      </c>
      <c r="C268" s="29" t="inlineStr">
        <is>
          <t>BLACK Y DECKER</t>
        </is>
      </c>
      <c r="D268" s="10" t="inlineStr">
        <is>
          <t>LUSTRALIJADORA WP 1300 DISCO 7"</t>
        </is>
      </c>
      <c r="E268" s="25" t="n">
        <v>5310</v>
      </c>
    </row>
    <row r="269">
      <c r="A269" s="30" t="inlineStr">
        <is>
          <t>CF 664</t>
        </is>
      </c>
      <c r="B269" s="30" t="inlineStr">
        <is>
          <t>MONCAR</t>
        </is>
      </c>
      <c r="C269" s="30" t="inlineStr">
        <is>
          <t>BLACK Y DECKER</t>
        </is>
      </c>
      <c r="D269" s="11" t="inlineStr">
        <is>
          <t>KG 915</t>
        </is>
      </c>
      <c r="E269" s="26" t="n">
        <v>5310</v>
      </c>
    </row>
    <row r="270">
      <c r="A270" s="29" t="inlineStr">
        <is>
          <t>CF 665</t>
        </is>
      </c>
      <c r="B270" s="29" t="inlineStr">
        <is>
          <t>MONCAR</t>
        </is>
      </c>
      <c r="C270" s="29" t="inlineStr">
        <is>
          <t>BLACK Y DECKER</t>
        </is>
      </c>
      <c r="D270" s="10" t="inlineStr">
        <is>
          <t>AMOLADORA ANGULAR R DE 4 1/2 "</t>
        </is>
      </c>
      <c r="E270" s="25" t="n">
        <v>2530</v>
      </c>
    </row>
    <row r="271">
      <c r="A271" s="30" t="inlineStr">
        <is>
          <t>CF 666</t>
        </is>
      </c>
      <c r="B271" s="30" t="inlineStr">
        <is>
          <t>MONCAR</t>
        </is>
      </c>
      <c r="C271" s="30" t="inlineStr">
        <is>
          <t>BLACK Y DECKER</t>
        </is>
      </c>
      <c r="D271" s="11" t="inlineStr">
        <is>
          <t>AMOLADORA ANGULAR R DE 4 1/2 "</t>
        </is>
      </c>
      <c r="E271" s="26" t="n">
        <v>2530</v>
      </c>
    </row>
    <row r="272">
      <c r="A272" s="29" t="inlineStr">
        <is>
          <t>CF 667</t>
        </is>
      </c>
      <c r="B272" s="29" t="inlineStr">
        <is>
          <t>MONCAR</t>
        </is>
      </c>
      <c r="C272" s="29" t="inlineStr">
        <is>
          <t>BOSCH</t>
        </is>
      </c>
      <c r="D272" s="10" t="inlineStr">
        <is>
          <t>AMOLADORA NUEVO MODELO</t>
        </is>
      </c>
      <c r="E272" s="25" t="n">
        <v>3760</v>
      </c>
    </row>
    <row r="273">
      <c r="A273" s="30" t="inlineStr">
        <is>
          <t>CF 668</t>
        </is>
      </c>
      <c r="B273" s="30" t="inlineStr">
        <is>
          <t>MONCAR</t>
        </is>
      </c>
      <c r="C273" s="30" t="inlineStr">
        <is>
          <t>COBREADOS</t>
        </is>
      </c>
      <c r="D273" s="11" t="inlineStr">
        <is>
          <t>DOWEN PAGGIO 12 V</t>
        </is>
      </c>
      <c r="E273" s="26" t="n">
        <v>6300</v>
      </c>
    </row>
    <row r="274">
      <c r="A274" s="29" t="inlineStr">
        <is>
          <t>CF 669</t>
        </is>
      </c>
      <c r="B274" s="29" t="inlineStr">
        <is>
          <t>MONCAR</t>
        </is>
      </c>
      <c r="C274" s="29" t="inlineStr">
        <is>
          <t>COBREADOS</t>
        </is>
      </c>
      <c r="D274" s="10" t="n"/>
      <c r="E274" s="25" t="n">
        <v>5730</v>
      </c>
    </row>
    <row r="275">
      <c r="A275" s="30" t="inlineStr">
        <is>
          <t>CF 670</t>
        </is>
      </c>
      <c r="B275" s="30" t="inlineStr">
        <is>
          <t>MONCAR</t>
        </is>
      </c>
      <c r="C275" s="30" t="inlineStr">
        <is>
          <t>COBREADOS</t>
        </is>
      </c>
      <c r="D275" s="11" t="n"/>
      <c r="E275" s="26" t="n">
        <v>3640</v>
      </c>
    </row>
    <row r="276">
      <c r="A276" s="29" t="inlineStr">
        <is>
          <t>CF 671</t>
        </is>
      </c>
      <c r="B276" s="29" t="inlineStr">
        <is>
          <t>MONCAR</t>
        </is>
      </c>
      <c r="C276" s="29" t="inlineStr">
        <is>
          <t>BLACK Y DECKER</t>
        </is>
      </c>
      <c r="D276" s="10" t="inlineStr">
        <is>
          <t>AMOLADORA ANGULAR DE 4 1/2 " G 900</t>
        </is>
      </c>
      <c r="E276" s="25" t="n">
        <v>3640</v>
      </c>
    </row>
    <row r="277">
      <c r="A277" s="30" t="inlineStr">
        <is>
          <t>CF 672</t>
        </is>
      </c>
      <c r="B277" s="30" t="inlineStr">
        <is>
          <t>MONCAR</t>
        </is>
      </c>
      <c r="C277" s="30" t="inlineStr">
        <is>
          <t>BLACK Y DECKER</t>
        </is>
      </c>
      <c r="D277" s="11" t="inlineStr">
        <is>
          <t>LUSTRALIJADORA WP 1500</t>
        </is>
      </c>
      <c r="E277" s="26" t="n">
        <v>3050</v>
      </c>
    </row>
    <row r="278">
      <c r="A278" s="29" t="inlineStr">
        <is>
          <t>CF 673</t>
        </is>
      </c>
      <c r="B278" s="29" t="inlineStr">
        <is>
          <t>MONCAR</t>
        </is>
      </c>
      <c r="C278" s="29" t="inlineStr">
        <is>
          <t>BLACK Y DECKER</t>
        </is>
      </c>
      <c r="D278" s="10" t="inlineStr">
        <is>
          <t>ROTOMARTILLO KD 1001</t>
        </is>
      </c>
      <c r="E278" s="25" t="n">
        <v>3050</v>
      </c>
    </row>
    <row r="279">
      <c r="A279" s="30" t="inlineStr">
        <is>
          <t>CF 674</t>
        </is>
      </c>
      <c r="B279" s="30" t="inlineStr">
        <is>
          <t>MONCAR</t>
        </is>
      </c>
      <c r="C279" s="30" t="inlineStr">
        <is>
          <t>BLACK Y DECKER</t>
        </is>
      </c>
      <c r="D279" s="11" t="inlineStr">
        <is>
          <t>AMOLADORA G 720 MOD. NUEVO</t>
        </is>
      </c>
      <c r="E279" s="26" t="n">
        <v>2530</v>
      </c>
    </row>
    <row r="280">
      <c r="A280" s="29" t="inlineStr">
        <is>
          <t>CF 675</t>
        </is>
      </c>
      <c r="B280" s="29" t="inlineStr">
        <is>
          <t>MONCAR</t>
        </is>
      </c>
      <c r="C280" s="29" t="inlineStr">
        <is>
          <t>BLACK Y DECKER</t>
        </is>
      </c>
      <c r="D280" s="10" t="inlineStr">
        <is>
          <t>MARTILLO KD 1250</t>
        </is>
      </c>
      <c r="E280" s="25" t="n">
        <v>3760</v>
      </c>
    </row>
    <row r="281">
      <c r="A281" s="30" t="inlineStr">
        <is>
          <t>CF 701</t>
        </is>
      </c>
      <c r="B281" s="30" t="inlineStr">
        <is>
          <t>MONCAR</t>
        </is>
      </c>
      <c r="C281" s="30" t="inlineStr">
        <is>
          <t>GAMMA</t>
        </is>
      </c>
      <c r="D281" s="11" t="inlineStr">
        <is>
          <t>AMOLADORAS 41/2 ¨</t>
        </is>
      </c>
      <c r="E281" s="26" t="n">
        <v>2530</v>
      </c>
    </row>
    <row r="282">
      <c r="A282" s="29" t="inlineStr">
        <is>
          <t>CF 702</t>
        </is>
      </c>
      <c r="B282" s="29" t="inlineStr">
        <is>
          <t>MONCAR</t>
        </is>
      </c>
      <c r="C282" s="29" t="inlineStr">
        <is>
          <t>GAMMA</t>
        </is>
      </c>
      <c r="D282" s="10" t="inlineStr">
        <is>
          <t>AMOLADORA 4 1/2¨</t>
        </is>
      </c>
      <c r="E282" s="25" t="n">
        <v>2260</v>
      </c>
    </row>
    <row r="283">
      <c r="A283" s="30" t="inlineStr">
        <is>
          <t>CF 703</t>
        </is>
      </c>
      <c r="B283" s="30" t="inlineStr">
        <is>
          <t>MONCAR</t>
        </is>
      </c>
      <c r="C283" s="30" t="inlineStr">
        <is>
          <t>GAMMA</t>
        </is>
      </c>
      <c r="D283" s="11" t="inlineStr">
        <is>
          <t>AMOLADORA 7¨Y 9¨</t>
        </is>
      </c>
      <c r="E283" s="26" t="n">
        <v>5640</v>
      </c>
    </row>
    <row r="284">
      <c r="A284" s="29" t="inlineStr">
        <is>
          <t>CF 704</t>
        </is>
      </c>
      <c r="B284" s="29" t="inlineStr">
        <is>
          <t>MONCAR</t>
        </is>
      </c>
      <c r="C284" s="29" t="inlineStr">
        <is>
          <t>GAMMA</t>
        </is>
      </c>
      <c r="D284" s="10" t="inlineStr">
        <is>
          <t>TALADROS</t>
        </is>
      </c>
      <c r="E284" s="25" t="n">
        <v>3540</v>
      </c>
    </row>
    <row r="285">
      <c r="A285" s="30" t="inlineStr">
        <is>
          <t>CF 705</t>
        </is>
      </c>
      <c r="B285" s="30" t="inlineStr">
        <is>
          <t>MONCAR</t>
        </is>
      </c>
      <c r="C285" s="30" t="inlineStr">
        <is>
          <t>GAMMA</t>
        </is>
      </c>
      <c r="D285" s="11" t="inlineStr">
        <is>
          <t>CEPILLO ELECTRICO ART HG006</t>
        </is>
      </c>
      <c r="E285" s="26" t="n">
        <v>5310</v>
      </c>
    </row>
    <row r="286">
      <c r="A286" s="29" t="inlineStr">
        <is>
          <t>CF 706</t>
        </is>
      </c>
      <c r="B286" s="29" t="inlineStr">
        <is>
          <t>MONCAR</t>
        </is>
      </c>
      <c r="C286" s="29" t="inlineStr">
        <is>
          <t>GAMMA</t>
        </is>
      </c>
      <c r="D286" s="10" t="inlineStr">
        <is>
          <t>TALADRO ELECTRICO CON PERCUTOR 13MM ART HG002</t>
        </is>
      </c>
      <c r="E286" s="25" t="n">
        <v>2260</v>
      </c>
    </row>
    <row r="287">
      <c r="A287" s="30" t="inlineStr">
        <is>
          <t>CF 707</t>
        </is>
      </c>
      <c r="B287" s="30" t="inlineStr">
        <is>
          <t>MONCAR</t>
        </is>
      </c>
      <c r="C287" s="30" t="inlineStr">
        <is>
          <t>GAMMA</t>
        </is>
      </c>
      <c r="D287" s="11" t="inlineStr">
        <is>
          <t>LIJADORA DE BANDA ART HG009 950W</t>
        </is>
      </c>
      <c r="E287" s="26" t="n">
        <v>4650</v>
      </c>
    </row>
    <row r="288">
      <c r="A288" s="29" t="inlineStr">
        <is>
          <t>CF 708</t>
        </is>
      </c>
      <c r="B288" s="29" t="inlineStr">
        <is>
          <t>MONCAR</t>
        </is>
      </c>
      <c r="C288" s="29" t="inlineStr">
        <is>
          <t>GAMMA</t>
        </is>
      </c>
      <c r="D288" s="10" t="inlineStr">
        <is>
          <t>AMOLADORA ANGULAR 7" ART HG004</t>
        </is>
      </c>
      <c r="E288" s="25" t="n">
        <v>4800</v>
      </c>
    </row>
    <row r="289">
      <c r="A289" s="30" t="inlineStr">
        <is>
          <t>CF 709</t>
        </is>
      </c>
      <c r="B289" s="30" t="inlineStr">
        <is>
          <t>MONCAR</t>
        </is>
      </c>
      <c r="C289" s="30" t="inlineStr">
        <is>
          <t>GAMMA</t>
        </is>
      </c>
      <c r="D289" s="11" t="inlineStr">
        <is>
          <t>CORTADORA SENSITIVA 14" ART HG010</t>
        </is>
      </c>
      <c r="E289" s="26" t="n">
        <v>3640</v>
      </c>
    </row>
    <row r="290">
      <c r="A290" s="29" t="inlineStr">
        <is>
          <t>CF 710</t>
        </is>
      </c>
      <c r="B290" s="29" t="inlineStr">
        <is>
          <t>MONCAR</t>
        </is>
      </c>
      <c r="C290" s="29" t="inlineStr">
        <is>
          <t>GAMMA</t>
        </is>
      </c>
      <c r="D290" s="10" t="inlineStr">
        <is>
          <t>LUSTRALIJADORA ART HG010</t>
        </is>
      </c>
      <c r="E290" s="25" t="n">
        <v>3280</v>
      </c>
    </row>
    <row r="291">
      <c r="A291" s="30" t="inlineStr">
        <is>
          <t>CF 711</t>
        </is>
      </c>
      <c r="B291" s="30" t="inlineStr">
        <is>
          <t>MONCAR</t>
        </is>
      </c>
      <c r="C291" s="30" t="inlineStr">
        <is>
          <t>GAMMA</t>
        </is>
      </c>
      <c r="D291" s="11" t="inlineStr">
        <is>
          <t>MARTILLO HG 021</t>
        </is>
      </c>
      <c r="E291" s="26" t="n">
        <v>3370</v>
      </c>
    </row>
    <row r="292">
      <c r="A292" s="29" t="inlineStr">
        <is>
          <t>CF 712</t>
        </is>
      </c>
      <c r="B292" s="29" t="inlineStr">
        <is>
          <t>MONCAR</t>
        </is>
      </c>
      <c r="C292" s="29" t="inlineStr">
        <is>
          <t>GAMMA</t>
        </is>
      </c>
      <c r="D292" s="10" t="inlineStr">
        <is>
          <t>AMOL.ANGULAR 115 MOD.G1910AR</t>
        </is>
      </c>
      <c r="E292" s="25" t="n">
        <v>3860</v>
      </c>
    </row>
    <row r="293">
      <c r="A293" s="30" t="inlineStr">
        <is>
          <t>CF 730</t>
        </is>
      </c>
      <c r="B293" s="30" t="inlineStr">
        <is>
          <t>MONCAR</t>
        </is>
      </c>
      <c r="C293" s="30" t="inlineStr">
        <is>
          <t>EINHELL</t>
        </is>
      </c>
      <c r="D293" s="11" t="inlineStr">
        <is>
          <t>AMOLADORA 4 1/2 TC AG115/750 WATT</t>
        </is>
      </c>
      <c r="E293" s="26" t="n">
        <v>4070</v>
      </c>
    </row>
    <row r="294">
      <c r="A294" s="29" t="inlineStr">
        <is>
          <t>CF 731</t>
        </is>
      </c>
      <c r="B294" s="29" t="inlineStr">
        <is>
          <t>MONCAR</t>
        </is>
      </c>
      <c r="C294" s="29" t="inlineStr">
        <is>
          <t>EINHELL</t>
        </is>
      </c>
      <c r="D294" s="10" t="inlineStr">
        <is>
          <t>SIERRA DE BANCO TC-TS 2025</t>
        </is>
      </c>
      <c r="E294" s="25" t="n">
        <v>5370</v>
      </c>
    </row>
    <row r="295">
      <c r="A295" s="30" t="inlineStr">
        <is>
          <t>CF 750</t>
        </is>
      </c>
      <c r="B295" s="30" t="inlineStr">
        <is>
          <t>MONCAR</t>
        </is>
      </c>
      <c r="C295" s="30" t="inlineStr">
        <is>
          <t>DOWEN PAGGIO</t>
        </is>
      </c>
      <c r="D295" s="11" t="inlineStr">
        <is>
          <t>AMOLADORA ANGULAR 115 MM MOD AA 115 H 710 W</t>
        </is>
      </c>
      <c r="E295" s="26" t="n">
        <v>3760</v>
      </c>
    </row>
    <row r="296">
      <c r="A296" s="29" t="inlineStr">
        <is>
          <t>CF 751</t>
        </is>
      </c>
      <c r="B296" s="29" t="inlineStr">
        <is>
          <t>MONCAR</t>
        </is>
      </c>
      <c r="C296" s="29" t="inlineStr">
        <is>
          <t>DOWEN PAGGIO</t>
        </is>
      </c>
      <c r="D296" s="10" t="inlineStr">
        <is>
          <t>AMOLADORA ANGULAR 115 MM MOD AA 115 SP 900 W</t>
        </is>
      </c>
      <c r="E296" s="25" t="n">
        <v>2780</v>
      </c>
    </row>
    <row r="297">
      <c r="A297" s="30" t="inlineStr">
        <is>
          <t>CF 752</t>
        </is>
      </c>
      <c r="B297" s="30" t="inlineStr">
        <is>
          <t>MONCAR</t>
        </is>
      </c>
      <c r="C297" s="30" t="inlineStr">
        <is>
          <t>DOWEN PAGGIO</t>
        </is>
      </c>
      <c r="D297" s="11" t="inlineStr">
        <is>
          <t>AMOL.180 MOD.AA SP/AA 230 SP 1800W</t>
        </is>
      </c>
      <c r="E297" s="26" t="n">
        <v>4800</v>
      </c>
    </row>
    <row r="298">
      <c r="A298" s="29" t="inlineStr">
        <is>
          <t>CF 753</t>
        </is>
      </c>
      <c r="B298" s="29" t="inlineStr">
        <is>
          <t>MONCAR</t>
        </is>
      </c>
      <c r="C298" s="29" t="inlineStr">
        <is>
          <t>DOWEN PAGGIO</t>
        </is>
      </c>
      <c r="D298" s="10" t="inlineStr">
        <is>
          <t>AMOLADORA ANGULAR 230 MM MOD AA 230 P 2200 W</t>
        </is>
      </c>
      <c r="E298" s="25" t="n">
        <v>5370</v>
      </c>
    </row>
    <row r="299">
      <c r="A299" s="30" t="inlineStr">
        <is>
          <t>CF 754</t>
        </is>
      </c>
      <c r="B299" s="30" t="inlineStr">
        <is>
          <t>MONCAR</t>
        </is>
      </c>
      <c r="C299" s="30" t="inlineStr">
        <is>
          <t>DOWEN PAGGIO</t>
        </is>
      </c>
      <c r="D299" s="11" t="inlineStr">
        <is>
          <t>LUSTRALIJADORA MOD LA 180 SSP 1300 W</t>
        </is>
      </c>
      <c r="E299" s="26" t="n">
        <v>5310</v>
      </c>
    </row>
    <row r="300">
      <c r="A300" s="29" t="inlineStr">
        <is>
          <t>CF 755</t>
        </is>
      </c>
      <c r="B300" s="29" t="inlineStr">
        <is>
          <t>MONCAR</t>
        </is>
      </c>
      <c r="C300" s="29" t="inlineStr">
        <is>
          <t>DOWEN PAGGIO</t>
        </is>
      </c>
      <c r="D300" s="10" t="inlineStr">
        <is>
          <t>TALADRO PERCUTOR 10MM MOD TP101SP 900W</t>
        </is>
      </c>
      <c r="E300" s="25" t="n">
        <v>2830</v>
      </c>
    </row>
    <row r="301">
      <c r="A301" s="30" t="inlineStr">
        <is>
          <t>CF 756</t>
        </is>
      </c>
      <c r="B301" s="30" t="inlineStr">
        <is>
          <t>MONCAR</t>
        </is>
      </c>
      <c r="C301" s="30" t="inlineStr">
        <is>
          <t>DOWEN PAGGIO</t>
        </is>
      </c>
      <c r="D301" s="11" t="inlineStr">
        <is>
          <t>TALADRO PERCUTOR 13MM MOD TP131P 1050W</t>
        </is>
      </c>
      <c r="E301" s="26" t="n">
        <v>4250</v>
      </c>
    </row>
    <row r="302">
      <c r="A302" s="29" t="inlineStr">
        <is>
          <t>CF 757</t>
        </is>
      </c>
      <c r="B302" s="29" t="inlineStr">
        <is>
          <t>MONCAR</t>
        </is>
      </c>
      <c r="C302" s="29" t="inlineStr">
        <is>
          <t>DOWEN PAGGIO</t>
        </is>
      </c>
      <c r="D302" s="10" t="inlineStr">
        <is>
          <t>TALADRO 16MM ALTO TORQUE MOD TP161P 1050W</t>
        </is>
      </c>
      <c r="E302" s="25" t="n">
        <v>4030</v>
      </c>
    </row>
    <row r="303">
      <c r="A303" s="30" t="inlineStr">
        <is>
          <t>CF 758</t>
        </is>
      </c>
      <c r="B303" s="30" t="inlineStr">
        <is>
          <t>MONCAR</t>
        </is>
      </c>
      <c r="C303" s="30" t="inlineStr">
        <is>
          <t>DOWEN PAGGIO</t>
        </is>
      </c>
      <c r="D303" s="11" t="inlineStr">
        <is>
          <t>CEPILLADORA MANUAL MOD CM822SP 1100W</t>
        </is>
      </c>
      <c r="E303" s="26" t="n">
        <v>5060</v>
      </c>
    </row>
    <row r="304">
      <c r="A304" s="29" t="inlineStr">
        <is>
          <t>CF 759</t>
        </is>
      </c>
      <c r="B304" s="29" t="inlineStr">
        <is>
          <t>MONCAR</t>
        </is>
      </c>
      <c r="C304" s="29" t="inlineStr">
        <is>
          <t>DOWEN PAGGIO</t>
        </is>
      </c>
      <c r="D304" s="10" t="inlineStr">
        <is>
          <t>SIERRA CALADORA MOD SC80SP 580W DOBLE GUIA</t>
        </is>
      </c>
      <c r="E304" s="25" t="n">
        <v>2530</v>
      </c>
    </row>
    <row r="305">
      <c r="A305" s="30" t="inlineStr">
        <is>
          <t>CF 760</t>
        </is>
      </c>
      <c r="B305" s="30" t="inlineStr">
        <is>
          <t>MONCAR</t>
        </is>
      </c>
      <c r="C305" s="30" t="inlineStr">
        <is>
          <t>DOWEN PAGGIO</t>
        </is>
      </c>
      <c r="D305" s="11" t="inlineStr">
        <is>
          <t>SIERRA CIRCULAR 190MM MOD SC190H 1300W</t>
        </is>
      </c>
      <c r="E305" s="26" t="n">
        <v>4070</v>
      </c>
    </row>
    <row r="306">
      <c r="A306" s="29" t="inlineStr">
        <is>
          <t>CF 761</t>
        </is>
      </c>
      <c r="B306" s="29" t="inlineStr">
        <is>
          <t>MONCAR</t>
        </is>
      </c>
      <c r="C306" s="29" t="inlineStr">
        <is>
          <t>DOWEN PAGGIO</t>
        </is>
      </c>
      <c r="D306" s="10" t="inlineStr">
        <is>
          <t>SIERRA CIRCULAR 190MM MOD SC190SP 1500W</t>
        </is>
      </c>
      <c r="E306" s="25" t="n">
        <v>4550</v>
      </c>
    </row>
    <row r="307">
      <c r="A307" s="30" t="inlineStr">
        <is>
          <t>CF 762</t>
        </is>
      </c>
      <c r="B307" s="30" t="inlineStr">
        <is>
          <t>MONCAR</t>
        </is>
      </c>
      <c r="C307" s="30" t="inlineStr">
        <is>
          <t>DOWEN PAGGIO</t>
        </is>
      </c>
      <c r="D307" s="11" t="inlineStr">
        <is>
          <t>REBAJADORA MANUAL MOD RM12P 1400W</t>
        </is>
      </c>
      <c r="E307" s="26" t="n">
        <v>2780</v>
      </c>
    </row>
    <row r="308">
      <c r="A308" s="29" t="inlineStr">
        <is>
          <t>CF 763</t>
        </is>
      </c>
      <c r="B308" s="29" t="inlineStr">
        <is>
          <t>MONCAR</t>
        </is>
      </c>
      <c r="C308" s="29" t="inlineStr">
        <is>
          <t>DOWEN PAGGIO</t>
        </is>
      </c>
      <c r="D308" s="10" t="inlineStr">
        <is>
          <t>SIERRA SENSITIVA MOD SS350SP 2000W</t>
        </is>
      </c>
      <c r="E308" s="25" t="n">
        <v>5420</v>
      </c>
    </row>
    <row r="309">
      <c r="A309" s="30" t="inlineStr">
        <is>
          <t>CF 764</t>
        </is>
      </c>
      <c r="B309" s="30" t="inlineStr">
        <is>
          <t>MONCAR</t>
        </is>
      </c>
      <c r="C309" s="30" t="inlineStr">
        <is>
          <t>DOWEN PAGGIO</t>
        </is>
      </c>
      <c r="D309" s="11" t="inlineStr">
        <is>
          <t>AMOLADORA ANGULAR 115 MM MOD AA 15H</t>
        </is>
      </c>
      <c r="E309" s="26" t="n">
        <v>2920</v>
      </c>
    </row>
    <row r="310">
      <c r="A310" s="29" t="inlineStr">
        <is>
          <t>CF 765</t>
        </is>
      </c>
      <c r="B310" s="29" t="inlineStr">
        <is>
          <t>MONCAR</t>
        </is>
      </c>
      <c r="C310" s="29" t="inlineStr">
        <is>
          <t>DOWEN PAGGIO</t>
        </is>
      </c>
      <c r="D310" s="10" t="n"/>
      <c r="E310" s="25" t="n">
        <v>2530</v>
      </c>
    </row>
    <row r="311">
      <c r="A311" s="30" t="inlineStr">
        <is>
          <t>CF 766</t>
        </is>
      </c>
      <c r="B311" s="30" t="inlineStr">
        <is>
          <t>MONCAR</t>
        </is>
      </c>
      <c r="C311" s="30" t="inlineStr">
        <is>
          <t>DOWEN PAGGIO</t>
        </is>
      </c>
      <c r="D311" s="11" t="inlineStr">
        <is>
          <t>AMOLADORA ANGULAR 115/125 MM AA 125 S9G</t>
        </is>
      </c>
      <c r="E311" s="26" t="n">
        <v>3050</v>
      </c>
    </row>
    <row r="312">
      <c r="A312" s="29" t="inlineStr">
        <is>
          <t>CF 767</t>
        </is>
      </c>
      <c r="B312" s="29" t="inlineStr">
        <is>
          <t>MONCAR</t>
        </is>
      </c>
      <c r="C312" s="29" t="inlineStr">
        <is>
          <t>DOWEN PAGGIO</t>
        </is>
      </c>
      <c r="D312" s="10" t="n"/>
      <c r="E312" s="25" t="n">
        <v>4070</v>
      </c>
    </row>
    <row r="313">
      <c r="A313" s="30" t="inlineStr">
        <is>
          <t>CF 768</t>
        </is>
      </c>
      <c r="B313" s="30" t="inlineStr">
        <is>
          <t>MONCAR</t>
        </is>
      </c>
      <c r="C313" s="30" t="inlineStr">
        <is>
          <t>DOWEN PAGGIO</t>
        </is>
      </c>
      <c r="D313" s="11" t="inlineStr">
        <is>
          <t>AMOLADORA ANGULAR 230 MM AA 230P</t>
        </is>
      </c>
      <c r="E313" s="26" t="n">
        <v>5300</v>
      </c>
    </row>
    <row r="314">
      <c r="A314" s="29" t="inlineStr">
        <is>
          <t>CF 769</t>
        </is>
      </c>
      <c r="B314" s="29" t="inlineStr">
        <is>
          <t>MONCAR</t>
        </is>
      </c>
      <c r="C314" s="29" t="inlineStr">
        <is>
          <t>DOWEN PAGGIO</t>
        </is>
      </c>
      <c r="D314" s="10" t="inlineStr">
        <is>
          <t>ROTOMARTILLO SDS PLUS RM 30 P</t>
        </is>
      </c>
      <c r="E314" s="25" t="n">
        <v>2530</v>
      </c>
    </row>
    <row r="315">
      <c r="A315" s="30" t="inlineStr">
        <is>
          <t>CF 850</t>
        </is>
      </c>
      <c r="B315" s="30" t="inlineStr">
        <is>
          <t>MONCAR</t>
        </is>
      </c>
      <c r="C315" s="30" t="inlineStr">
        <is>
          <t>BTA</t>
        </is>
      </c>
      <c r="D315" s="11" t="inlineStr">
        <is>
          <t>AMOLADORA 4 1/2" VARIOS MODELOS</t>
        </is>
      </c>
      <c r="E315" s="26" t="n">
        <v>2530</v>
      </c>
    </row>
    <row r="316">
      <c r="A316" s="29" t="inlineStr">
        <is>
          <t>CF 851</t>
        </is>
      </c>
      <c r="B316" s="29" t="inlineStr">
        <is>
          <t>MONCAR</t>
        </is>
      </c>
      <c r="C316" s="29" t="inlineStr">
        <is>
          <t>BTA</t>
        </is>
      </c>
      <c r="D316" s="10" t="inlineStr">
        <is>
          <t>AMOLADORA  4 1/2¨ VARIOS MODELOS</t>
        </is>
      </c>
      <c r="E316" s="25" t="n">
        <v>2260</v>
      </c>
    </row>
    <row r="317">
      <c r="A317" s="30" t="inlineStr">
        <is>
          <t>CF 852</t>
        </is>
      </c>
      <c r="B317" s="30" t="inlineStr">
        <is>
          <t>MONCAR</t>
        </is>
      </c>
      <c r="C317" s="30" t="inlineStr">
        <is>
          <t>BTA</t>
        </is>
      </c>
      <c r="D317" s="11" t="inlineStr">
        <is>
          <t>AMOLADORA DE 7¨Y 9¨</t>
        </is>
      </c>
      <c r="E317" s="26" t="n">
        <v>5640</v>
      </c>
    </row>
    <row r="318">
      <c r="A318" s="29" t="inlineStr">
        <is>
          <t>CF 853</t>
        </is>
      </c>
      <c r="B318" s="29" t="inlineStr">
        <is>
          <t>MONCAR</t>
        </is>
      </c>
      <c r="C318" s="29" t="inlineStr">
        <is>
          <t>BTA</t>
        </is>
      </c>
      <c r="D318" s="10" t="inlineStr">
        <is>
          <t>TALADRO</t>
        </is>
      </c>
      <c r="E318" s="25" t="n">
        <v>3540</v>
      </c>
    </row>
    <row r="319">
      <c r="A319" s="30" t="inlineStr">
        <is>
          <t>CF 880</t>
        </is>
      </c>
      <c r="B319" s="30" t="inlineStr">
        <is>
          <t>MONCAR</t>
        </is>
      </c>
      <c r="C319" s="30" t="inlineStr">
        <is>
          <t>NEO</t>
        </is>
      </c>
      <c r="D319" s="11" t="inlineStr">
        <is>
          <t>AMOLADORA 7 Y 9" MOD AA 919- AA927 900W</t>
        </is>
      </c>
      <c r="E319" s="26" t="n">
        <v>5590</v>
      </c>
    </row>
    <row r="320">
      <c r="A320" s="29" t="inlineStr">
        <is>
          <t>CF 881</t>
        </is>
      </c>
      <c r="B320" s="29" t="inlineStr">
        <is>
          <t>MONCAR</t>
        </is>
      </c>
      <c r="C320" s="29" t="inlineStr">
        <is>
          <t>NEO</t>
        </is>
      </c>
      <c r="D320" s="10" t="inlineStr">
        <is>
          <t>TALADRO 13MM PERCUTOR MOD TP813 1050W</t>
        </is>
      </c>
      <c r="E320" s="25" t="n">
        <v>4070</v>
      </c>
    </row>
    <row r="321">
      <c r="A321" s="30" t="inlineStr">
        <is>
          <t>CF 882</t>
        </is>
      </c>
      <c r="B321" s="30" t="inlineStr">
        <is>
          <t>MONCAR</t>
        </is>
      </c>
      <c r="C321" s="30" t="inlineStr">
        <is>
          <t>NEO</t>
        </is>
      </c>
      <c r="D321" s="11" t="inlineStr">
        <is>
          <t>AMOLADORA 4 1/2" MOD AA915 900W</t>
        </is>
      </c>
      <c r="E321" s="26" t="n">
        <v>2530</v>
      </c>
    </row>
    <row r="322">
      <c r="A322" s="29" t="inlineStr">
        <is>
          <t>CF 883</t>
        </is>
      </c>
      <c r="B322" s="29" t="inlineStr">
        <is>
          <t>MONCAR</t>
        </is>
      </c>
      <c r="C322" s="29" t="inlineStr">
        <is>
          <t>NEO</t>
        </is>
      </c>
      <c r="D322" s="10" t="inlineStr">
        <is>
          <t>ROTOMARTILLO 3 FUNCIONES MOD RM821 650W</t>
        </is>
      </c>
      <c r="E322" s="25" t="n">
        <v>3410</v>
      </c>
    </row>
    <row r="323">
      <c r="A323" s="30" t="inlineStr">
        <is>
          <t>CF 884</t>
        </is>
      </c>
      <c r="B323" s="30" t="inlineStr">
        <is>
          <t>MONCAR</t>
        </is>
      </c>
      <c r="C323" s="30" t="inlineStr">
        <is>
          <t>NEO</t>
        </is>
      </c>
      <c r="D323" s="11" t="inlineStr">
        <is>
          <t>MARTILLO DEMOLEDOR RM 825</t>
        </is>
      </c>
      <c r="E323" s="26" t="n">
        <v>5640</v>
      </c>
    </row>
    <row r="324">
      <c r="A324" s="29" t="inlineStr">
        <is>
          <t>CF 885</t>
        </is>
      </c>
      <c r="B324" s="29" t="inlineStr">
        <is>
          <t>MONCAR</t>
        </is>
      </c>
      <c r="C324" s="29" t="inlineStr">
        <is>
          <t>NEO</t>
        </is>
      </c>
      <c r="D324" s="10" t="inlineStr">
        <is>
          <t>MARTILLO ELECTRONEUMATICO MOD RM 708 850W</t>
        </is>
      </c>
      <c r="E324" s="25" t="n">
        <v>5640</v>
      </c>
    </row>
    <row r="325">
      <c r="A325" s="30" t="inlineStr">
        <is>
          <t>CF 886</t>
        </is>
      </c>
      <c r="B325" s="30" t="inlineStr">
        <is>
          <t>MONCAR</t>
        </is>
      </c>
      <c r="C325" s="30" t="inlineStr">
        <is>
          <t>NEO</t>
        </is>
      </c>
      <c r="D325" s="11" t="inlineStr">
        <is>
          <t>AMOLADORA 4 1/2" AA915/1015</t>
        </is>
      </c>
      <c r="E325" s="26" t="n">
        <v>2660</v>
      </c>
    </row>
    <row r="326">
      <c r="A326" s="29" t="inlineStr">
        <is>
          <t>CF 887</t>
        </is>
      </c>
      <c r="B326" s="29" t="inlineStr">
        <is>
          <t>MONCAR</t>
        </is>
      </c>
      <c r="C326" s="29" t="inlineStr">
        <is>
          <t>NEO</t>
        </is>
      </c>
      <c r="D326" s="10" t="inlineStr">
        <is>
          <t>AMOLADORA 7" AA928 (CON AVISO DE DESGASTE)</t>
        </is>
      </c>
      <c r="E326" s="25" t="n">
        <v>5640</v>
      </c>
    </row>
    <row r="327">
      <c r="A327" s="30" t="inlineStr">
        <is>
          <t>CF 888</t>
        </is>
      </c>
      <c r="B327" s="30" t="inlineStr">
        <is>
          <t>MONCAR</t>
        </is>
      </c>
      <c r="C327" s="30" t="inlineStr">
        <is>
          <t>NEO</t>
        </is>
      </c>
      <c r="D327" s="11" t="inlineStr">
        <is>
          <t>LIJADORA DE BANDA LB 721</t>
        </is>
      </c>
      <c r="E327" s="26" t="n">
        <v>2660</v>
      </c>
    </row>
    <row r="328">
      <c r="A328" s="29" t="inlineStr">
        <is>
          <t>CF 889</t>
        </is>
      </c>
      <c r="B328" s="29" t="inlineStr">
        <is>
          <t>MONCAR</t>
        </is>
      </c>
      <c r="C328" s="29" t="inlineStr">
        <is>
          <t>NEO</t>
        </is>
      </c>
      <c r="D328" s="10" t="inlineStr">
        <is>
          <t>LIJADORA ORBITAL L0712</t>
        </is>
      </c>
      <c r="E328" s="25" t="n">
        <v>5170</v>
      </c>
    </row>
    <row r="329">
      <c r="A329" s="30" t="inlineStr">
        <is>
          <t>CF 900</t>
        </is>
      </c>
      <c r="B329" s="30" t="inlineStr">
        <is>
          <t>MONCAR</t>
        </is>
      </c>
      <c r="C329" s="30" t="inlineStr">
        <is>
          <t>EXPERTO</t>
        </is>
      </c>
      <c r="D329" s="11" t="inlineStr">
        <is>
          <t>AMOLADORA 4 1/2" 1100W</t>
        </is>
      </c>
      <c r="E329" s="26" t="n">
        <v>5300</v>
      </c>
    </row>
    <row r="330">
      <c r="A330" s="29" t="inlineStr">
        <is>
          <t>CF 917</t>
        </is>
      </c>
      <c r="B330" s="29" t="inlineStr">
        <is>
          <t>MONCAR</t>
        </is>
      </c>
      <c r="C330" s="29" t="inlineStr">
        <is>
          <t>BOSCH</t>
        </is>
      </c>
      <c r="D330" s="10" t="inlineStr">
        <is>
          <t>AMOL.4 1/2 MOD 1394-1375 -GWS 7-115 (CON AVISO)</t>
        </is>
      </c>
      <c r="E330" s="25" t="n">
        <v>4030</v>
      </c>
    </row>
    <row r="331">
      <c r="A331" s="30" t="inlineStr">
        <is>
          <t>CF 950</t>
        </is>
      </c>
      <c r="B331" s="30" t="inlineStr">
        <is>
          <t>MONCAR</t>
        </is>
      </c>
      <c r="C331" s="30" t="inlineStr">
        <is>
          <t>GLADIATOR</t>
        </is>
      </c>
      <c r="D331" s="11" t="inlineStr">
        <is>
          <t>AMOLADORA ANGULAR MOD AA215 640W</t>
        </is>
      </c>
      <c r="E331" s="26" t="n">
        <v>2530</v>
      </c>
    </row>
    <row r="332">
      <c r="A332" s="29" t="inlineStr">
        <is>
          <t>CF 951</t>
        </is>
      </c>
      <c r="B332" s="29" t="inlineStr">
        <is>
          <t>MONCAR</t>
        </is>
      </c>
      <c r="C332" s="29" t="inlineStr">
        <is>
          <t>GLADIATOR</t>
        </is>
      </c>
      <c r="D332" s="10" t="inlineStr">
        <is>
          <t>AMOLADORA 7¨Y 9¨</t>
        </is>
      </c>
      <c r="E332" s="25" t="n">
        <v>5370</v>
      </c>
    </row>
    <row r="333">
      <c r="A333" s="30" t="inlineStr">
        <is>
          <t>CF 952</t>
        </is>
      </c>
      <c r="B333" s="30" t="inlineStr">
        <is>
          <t>MONCAR</t>
        </is>
      </c>
      <c r="C333" s="30" t="inlineStr">
        <is>
          <t>GLADIATOR</t>
        </is>
      </c>
      <c r="D333" s="11" t="inlineStr">
        <is>
          <t>TALADRO PERCUTOR 13MM MOD TP513 800W</t>
        </is>
      </c>
      <c r="E333" s="26" t="n">
        <v>3760</v>
      </c>
    </row>
    <row r="334">
      <c r="A334" s="29" t="inlineStr">
        <is>
          <t>CF 953</t>
        </is>
      </c>
      <c r="B334" s="29" t="inlineStr">
        <is>
          <t>MONCAR</t>
        </is>
      </c>
      <c r="C334" s="29" t="inlineStr">
        <is>
          <t>GLADIATOR</t>
        </is>
      </c>
      <c r="D334" s="10" t="inlineStr">
        <is>
          <t>AMOL. ANGULAR MOD AA518 180MM 2200W/ AA523 230MM 2200W</t>
        </is>
      </c>
      <c r="E334" s="25" t="n">
        <v>5370</v>
      </c>
    </row>
    <row r="335">
      <c r="A335" s="30" t="inlineStr">
        <is>
          <t>CF 954</t>
        </is>
      </c>
      <c r="B335" s="30" t="inlineStr">
        <is>
          <t>MONCAR</t>
        </is>
      </c>
      <c r="C335" s="30" t="inlineStr">
        <is>
          <t>GLADIATOR</t>
        </is>
      </c>
      <c r="D335" s="11" t="inlineStr">
        <is>
          <t>SIERRA CIRCULAR 7 1/4" MOD 307 1200W</t>
        </is>
      </c>
      <c r="E335" s="26" t="n">
        <v>4070</v>
      </c>
    </row>
    <row r="336">
      <c r="A336" s="29" t="inlineStr">
        <is>
          <t>CF 955</t>
        </is>
      </c>
      <c r="B336" s="29" t="inlineStr">
        <is>
          <t>MONCAR</t>
        </is>
      </c>
      <c r="C336" s="29" t="inlineStr">
        <is>
          <t>GLADIATOR</t>
        </is>
      </c>
      <c r="D336" s="10" t="n"/>
      <c r="E336" s="25" t="n">
        <v>2530</v>
      </c>
    </row>
    <row r="337">
      <c r="A337" s="30" t="inlineStr">
        <is>
          <t>CF 970</t>
        </is>
      </c>
      <c r="B337" s="30" t="inlineStr">
        <is>
          <t>MONCAR</t>
        </is>
      </c>
      <c r="C337" s="30" t="inlineStr">
        <is>
          <t>MILWAUKEE</t>
        </is>
      </c>
      <c r="D337" s="11" t="inlineStr">
        <is>
          <t>AMOLADORA 4 1/2"</t>
        </is>
      </c>
      <c r="E337" s="26" t="n">
        <v>3410</v>
      </c>
    </row>
    <row r="338">
      <c r="A338" s="29" t="inlineStr">
        <is>
          <t>CF 971</t>
        </is>
      </c>
      <c r="B338" s="29" t="inlineStr">
        <is>
          <t>MONCAR</t>
        </is>
      </c>
      <c r="C338" s="29" t="inlineStr">
        <is>
          <t>MILWAUKEE</t>
        </is>
      </c>
      <c r="D338" s="10" t="inlineStr">
        <is>
          <t>AMOLADORA 4 1/2"</t>
        </is>
      </c>
      <c r="E338" s="25" t="n">
        <v>3660</v>
      </c>
    </row>
    <row r="339">
      <c r="A339" s="30" t="inlineStr">
        <is>
          <t>CF 972</t>
        </is>
      </c>
      <c r="B339" s="30" t="inlineStr">
        <is>
          <t>MONCAR</t>
        </is>
      </c>
      <c r="C339" s="30" t="inlineStr">
        <is>
          <t>MILWAUKEE</t>
        </is>
      </c>
      <c r="D339" s="11" t="inlineStr">
        <is>
          <t>AMOLADORA 7" Y 9"</t>
        </is>
      </c>
      <c r="E339" s="26" t="n">
        <v>4650</v>
      </c>
    </row>
    <row r="340">
      <c r="A340" s="29" t="inlineStr">
        <is>
          <t>CF 990</t>
        </is>
      </c>
      <c r="B340" s="29" t="inlineStr">
        <is>
          <t>MONCAR</t>
        </is>
      </c>
      <c r="C340" s="29" t="inlineStr">
        <is>
          <t>AEG</t>
        </is>
      </c>
      <c r="D340" s="10" t="inlineStr">
        <is>
          <t>AMOLADORA 4 1/2</t>
        </is>
      </c>
      <c r="E340" s="25" t="n">
        <v>2530</v>
      </c>
    </row>
    <row r="341">
      <c r="A341" s="30" t="inlineStr">
        <is>
          <t>CF601</t>
        </is>
      </c>
      <c r="B341" s="30" t="inlineStr">
        <is>
          <t>MONCAR</t>
        </is>
      </c>
      <c r="C341" s="30" t="inlineStr">
        <is>
          <t>BLACK Y DECKER</t>
        </is>
      </c>
      <c r="D341" s="11" t="inlineStr">
        <is>
          <t>AMOLADORAS DE 7" - LIJADORAS Y PULIDORAS</t>
        </is>
      </c>
      <c r="E341" s="26" t="n">
        <v>2780</v>
      </c>
    </row>
    <row r="342">
      <c r="A342" s="29" t="inlineStr">
        <is>
          <t>PC 001</t>
        </is>
      </c>
      <c r="B342" s="29" t="inlineStr">
        <is>
          <t>MONCAR</t>
        </is>
      </c>
      <c r="C342" s="29" t="n"/>
      <c r="D342" s="10" t="n"/>
      <c r="E342" s="25" t="n">
        <v>6215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F4" sqref="F4:F17"/>
    </sheetView>
  </sheetViews>
  <sheetFormatPr baseColWidth="10" defaultRowHeight="14.4"/>
  <cols>
    <col width="12" customWidth="1" style="39" min="1" max="1"/>
    <col width="10" customWidth="1" style="39" min="2" max="2"/>
    <col width="22" customWidth="1" style="39" min="3" max="3"/>
    <col width="38" customWidth="1" style="40" min="4" max="4"/>
    <col width="14" customWidth="1" style="39" min="5" max="6"/>
  </cols>
  <sheetData>
    <row r="1">
      <c r="A1" t="inlineStr">
        <is>
          <t>LISTA DE PRECIOS RMH — Interruptores para maquinas electricas</t>
        </is>
      </c>
    </row>
    <row r="2">
      <c r="A2" s="27" t="inlineStr">
        <is>
          <t>LP ACTIVA →</t>
        </is>
      </c>
      <c r="B2" s="8" t="inlineStr">
        <is>
          <t>Vigencia Abr-26</t>
        </is>
      </c>
      <c r="C2" s="28" t="inlineStr">
        <is>
          <t>← Cambia este valor cuando entre nueva vigencia</t>
        </is>
      </c>
    </row>
    <row r="3">
      <c r="A3" s="9" t="inlineStr">
        <is>
          <t>COD</t>
        </is>
      </c>
      <c r="B3" s="9" t="inlineStr">
        <is>
          <t>EMPRESA</t>
        </is>
      </c>
      <c r="C3" s="9" t="inlineStr">
        <is>
          <t>MARCA</t>
        </is>
      </c>
      <c r="D3" s="9" t="inlineStr">
        <is>
          <t>DESCRIPCION</t>
        </is>
      </c>
      <c r="E3" s="9" t="inlineStr">
        <is>
          <t>Precio anterior</t>
        </is>
      </c>
      <c r="F3" s="9" t="inlineStr">
        <is>
          <t>Vigencia Abr-26</t>
        </is>
      </c>
    </row>
    <row r="4">
      <c r="A4" s="29" t="inlineStr">
        <is>
          <t>RM 022</t>
        </is>
      </c>
      <c r="B4" s="29" t="inlineStr">
        <is>
          <t>RMH</t>
        </is>
      </c>
      <c r="C4" s="25" t="n"/>
      <c r="D4" s="10" t="inlineStr">
        <is>
          <t>Llave encendido hidrolavadora</t>
        </is>
      </c>
      <c r="E4" s="25" t="n">
        <v>4000</v>
      </c>
      <c r="F4" s="25" t="n">
        <v>4400</v>
      </c>
    </row>
    <row r="5">
      <c r="A5" s="30" t="inlineStr">
        <is>
          <t>RM 023</t>
        </is>
      </c>
      <c r="B5" s="30" t="inlineStr">
        <is>
          <t>RMH</t>
        </is>
      </c>
      <c r="C5" s="26" t="n"/>
      <c r="D5" s="11" t="inlineStr">
        <is>
          <t>Amoladora de banco</t>
        </is>
      </c>
      <c r="E5" s="26" t="n">
        <v>3650</v>
      </c>
      <c r="F5" s="26" t="n">
        <v>4015</v>
      </c>
    </row>
    <row r="6">
      <c r="A6" s="29" t="inlineStr">
        <is>
          <t>RM 026</t>
        </is>
      </c>
      <c r="B6" s="29" t="inlineStr">
        <is>
          <t>RMH</t>
        </is>
      </c>
      <c r="C6" s="25" t="n"/>
      <c r="D6" s="10" t="inlineStr">
        <is>
          <t>Lijadoras y cepillos</t>
        </is>
      </c>
      <c r="E6" s="25" t="n">
        <v>3650</v>
      </c>
      <c r="F6" s="25" t="n">
        <v>4015</v>
      </c>
    </row>
    <row r="7">
      <c r="A7" s="30" t="inlineStr">
        <is>
          <t>RM 029</t>
        </is>
      </c>
      <c r="B7" s="30" t="inlineStr">
        <is>
          <t>RMH</t>
        </is>
      </c>
      <c r="C7" s="26" t="n"/>
      <c r="D7" s="11" t="inlineStr">
        <is>
          <t>Amoladora angular 180mm</t>
        </is>
      </c>
      <c r="E7" s="26" t="n">
        <v>0</v>
      </c>
      <c r="F7" s="26" t="n">
        <v>9350</v>
      </c>
    </row>
    <row r="8">
      <c r="A8" s="29" t="inlineStr">
        <is>
          <t>RM 032</t>
        </is>
      </c>
      <c r="B8" s="29" t="inlineStr">
        <is>
          <t>RMH</t>
        </is>
      </c>
      <c r="C8" s="25" t="n"/>
      <c r="D8" s="10" t="inlineStr">
        <is>
          <t>Taladro 13mm</t>
        </is>
      </c>
      <c r="E8" s="25" t="n">
        <v>11000</v>
      </c>
      <c r="F8" s="25" t="n">
        <v>12100</v>
      </c>
    </row>
    <row r="9">
      <c r="A9" s="30" t="inlineStr">
        <is>
          <t>RM 033</t>
        </is>
      </c>
      <c r="B9" s="30" t="inlineStr">
        <is>
          <t>RMH</t>
        </is>
      </c>
      <c r="C9" s="26" t="n"/>
      <c r="D9" s="11" t="inlineStr">
        <is>
          <t>Taladro 13mm Stingray/Metabo</t>
        </is>
      </c>
      <c r="E9" s="26" t="n">
        <v>11600</v>
      </c>
      <c r="F9" s="26" t="n">
        <v>12760</v>
      </c>
    </row>
    <row r="10">
      <c r="A10" s="29" t="inlineStr">
        <is>
          <t>RM 034</t>
        </is>
      </c>
      <c r="B10" s="29" t="inlineStr">
        <is>
          <t>RMH</t>
        </is>
      </c>
      <c r="C10" s="25" t="n"/>
      <c r="D10" s="10" t="inlineStr">
        <is>
          <t>Amoladora 650W</t>
        </is>
      </c>
      <c r="E10" s="25" t="n">
        <v>6800</v>
      </c>
      <c r="F10" s="25" t="n">
        <v>7480</v>
      </c>
    </row>
    <row r="11">
      <c r="A11" s="30" t="inlineStr">
        <is>
          <t>RM 035</t>
        </is>
      </c>
      <c r="B11" s="30" t="inlineStr">
        <is>
          <t>RMH</t>
        </is>
      </c>
      <c r="C11" s="26" t="n"/>
      <c r="D11" s="11" t="inlineStr">
        <is>
          <t>Amoladora recta 4 1/2</t>
        </is>
      </c>
      <c r="E11" s="26" t="n">
        <v>3850</v>
      </c>
      <c r="F11" s="26" t="n">
        <v>4235</v>
      </c>
    </row>
    <row r="12">
      <c r="A12" s="29" t="inlineStr">
        <is>
          <t>RM 036</t>
        </is>
      </c>
      <c r="B12" s="29" t="inlineStr">
        <is>
          <t>RMH</t>
        </is>
      </c>
      <c r="C12" s="25" t="n"/>
      <c r="D12" s="10" t="inlineStr">
        <is>
          <t>Amoladora con arranque progresivo</t>
        </is>
      </c>
      <c r="E12" s="25" t="n">
        <v>7400</v>
      </c>
      <c r="F12" s="25" t="n">
        <v>8140</v>
      </c>
    </row>
    <row r="13">
      <c r="A13" s="30" t="inlineStr">
        <is>
          <t>RM 040</t>
        </is>
      </c>
      <c r="B13" s="30" t="inlineStr">
        <is>
          <t>RMH</t>
        </is>
      </c>
      <c r="C13" s="26" t="n"/>
      <c r="D13" s="11" t="inlineStr">
        <is>
          <t>Amoladora Makita 9527/9524</t>
        </is>
      </c>
      <c r="E13" s="26" t="n">
        <v>3650</v>
      </c>
      <c r="F13" s="26" t="n">
        <v>4015</v>
      </c>
    </row>
    <row r="14">
      <c r="A14" s="29" t="inlineStr">
        <is>
          <t>RM 041</t>
        </is>
      </c>
      <c r="B14" s="29" t="inlineStr">
        <is>
          <t>RMH</t>
        </is>
      </c>
      <c r="C14" s="25" t="n"/>
      <c r="D14" s="10" t="inlineStr">
        <is>
          <t>Palanca interruptor</t>
        </is>
      </c>
      <c r="E14" s="25" t="n">
        <v>3650</v>
      </c>
      <c r="F14" s="25" t="n">
        <v>4015</v>
      </c>
    </row>
    <row r="15">
      <c r="A15" s="30" t="inlineStr">
        <is>
          <t>RM 101</t>
        </is>
      </c>
      <c r="B15" s="30" t="inlineStr">
        <is>
          <t>RMH</t>
        </is>
      </c>
      <c r="C15" s="26" t="n"/>
      <c r="D15" s="11" t="inlineStr">
        <is>
          <t>Amoladora gatillo grande</t>
        </is>
      </c>
      <c r="E15" s="26" t="n">
        <v>19360</v>
      </c>
      <c r="F15" s="26" t="n">
        <v>19360</v>
      </c>
    </row>
    <row r="16">
      <c r="A16" s="29" t="inlineStr">
        <is>
          <t>RM 102</t>
        </is>
      </c>
      <c r="B16" s="29" t="inlineStr">
        <is>
          <t>RMH</t>
        </is>
      </c>
      <c r="C16" s="25" t="n"/>
      <c r="D16" s="10" t="inlineStr">
        <is>
          <t>Gatillo Makita GA9020/7020</t>
        </is>
      </c>
      <c r="E16" s="25" t="n">
        <v>19360</v>
      </c>
      <c r="F16" s="25" t="n">
        <v>19360</v>
      </c>
    </row>
    <row r="17">
      <c r="A17" s="30" t="inlineStr">
        <is>
          <t>RM 106</t>
        </is>
      </c>
      <c r="B17" s="30" t="inlineStr">
        <is>
          <t>RMH</t>
        </is>
      </c>
      <c r="C17" s="26" t="n"/>
      <c r="D17" s="11" t="inlineStr">
        <is>
          <t>Martillo HM0810 Makita</t>
        </is>
      </c>
      <c r="E17" s="26" t="n">
        <v>13200</v>
      </c>
      <c r="F17" s="26" t="n">
        <v>13200</v>
      </c>
    </row>
    <row r="18">
      <c r="A18" s="29" t="inlineStr">
        <is>
          <t>RM 111</t>
        </is>
      </c>
      <c r="B18" s="29" t="inlineStr">
        <is>
          <t>RMH</t>
        </is>
      </c>
      <c r="C18" s="25" t="n"/>
      <c r="D18" s="10" t="inlineStr">
        <is>
          <t>Gatillo atornillador inalambrico Daewoo</t>
        </is>
      </c>
      <c r="E18" s="25" t="n">
        <v>17600</v>
      </c>
      <c r="F18" s="25" t="n">
        <v>19360</v>
      </c>
    </row>
    <row r="19">
      <c r="A19" s="30" t="inlineStr">
        <is>
          <t>RM 400</t>
        </is>
      </c>
      <c r="B19" s="30" t="inlineStr">
        <is>
          <t>RMH</t>
        </is>
      </c>
      <c r="C19" s="26" t="n"/>
      <c r="D19" s="11" t="inlineStr">
        <is>
          <t>Taladro Dewalt D25003</t>
        </is>
      </c>
      <c r="E19" s="26" t="n">
        <v>18700</v>
      </c>
      <c r="F19" s="26" t="n">
        <v>20570</v>
      </c>
    </row>
    <row r="20">
      <c r="A20" s="29" t="inlineStr">
        <is>
          <t>RM 401</t>
        </is>
      </c>
      <c r="B20" s="29" t="inlineStr">
        <is>
          <t>RMH</t>
        </is>
      </c>
      <c r="C20" s="25" t="n"/>
      <c r="D20" s="10" t="inlineStr">
        <is>
          <t>Taladro Makita Hr2450</t>
        </is>
      </c>
      <c r="E20" s="25" t="n">
        <v>14850</v>
      </c>
      <c r="F20" s="25" t="n">
        <v>16335</v>
      </c>
    </row>
    <row r="21">
      <c r="A21" s="30" t="inlineStr">
        <is>
          <t>RM 402</t>
        </is>
      </c>
      <c r="B21" s="30" t="inlineStr">
        <is>
          <t>RMH</t>
        </is>
      </c>
      <c r="C21" s="26" t="n"/>
      <c r="D21" s="11" t="inlineStr">
        <is>
          <t>Taladro</t>
        </is>
      </c>
      <c r="E21" s="26" t="n">
        <v>14850</v>
      </c>
      <c r="F21" s="26" t="n">
        <v>16335</v>
      </c>
    </row>
    <row r="22">
      <c r="A22" s="29" t="inlineStr">
        <is>
          <t>RM 403</t>
        </is>
      </c>
      <c r="B22" s="29" t="inlineStr">
        <is>
          <t>RMH</t>
        </is>
      </c>
      <c r="C22" s="25" t="n"/>
      <c r="D22" s="10" t="inlineStr">
        <is>
          <t>Interruptor taladro Dowen Paggio</t>
        </is>
      </c>
      <c r="E22" s="25" t="n">
        <v>0</v>
      </c>
      <c r="F22" s="25" t="n">
        <v>19360</v>
      </c>
    </row>
    <row r="23">
      <c r="A23" s="30" t="inlineStr">
        <is>
          <t>RM 409</t>
        </is>
      </c>
      <c r="B23" s="30" t="inlineStr">
        <is>
          <t>RMH</t>
        </is>
      </c>
      <c r="C23" s="26" t="n"/>
      <c r="D23" s="11" t="inlineStr">
        <is>
          <t>Amoladora Bosch 4 1/2 GWS8-125</t>
        </is>
      </c>
      <c r="E23" s="26" t="n">
        <v>4000</v>
      </c>
      <c r="F23" s="26" t="n">
        <v>4400</v>
      </c>
    </row>
    <row r="24">
      <c r="A24" s="29" t="inlineStr">
        <is>
          <t>RM 413</t>
        </is>
      </c>
      <c r="B24" s="29" t="inlineStr">
        <is>
          <t>RMH</t>
        </is>
      </c>
      <c r="C24" s="25" t="n"/>
      <c r="D24" s="10" t="inlineStr">
        <is>
          <t>Taladros varios</t>
        </is>
      </c>
      <c r="E24" s="25" t="n">
        <v>14000</v>
      </c>
      <c r="F24" s="25" t="n">
        <v>15400</v>
      </c>
    </row>
    <row r="25">
      <c r="A25" s="30" t="inlineStr">
        <is>
          <t>RM 414</t>
        </is>
      </c>
      <c r="B25" s="30" t="inlineStr">
        <is>
          <t>RMH</t>
        </is>
      </c>
      <c r="C25" s="26" t="n"/>
      <c r="D25" s="11" t="inlineStr">
        <is>
          <t>Taladro Dowen Paggio/Metabo</t>
        </is>
      </c>
      <c r="E25" s="26" t="n">
        <v>14000</v>
      </c>
      <c r="F25" s="26" t="n">
        <v>15400</v>
      </c>
    </row>
    <row r="26">
      <c r="A26" s="29" t="inlineStr">
        <is>
          <t>RM 416</t>
        </is>
      </c>
      <c r="B26" s="29" t="inlineStr">
        <is>
          <t>RMH</t>
        </is>
      </c>
      <c r="C26" s="25" t="n"/>
      <c r="D26" s="10" t="inlineStr">
        <is>
          <t>Amoladora ingletadora DeWalt</t>
        </is>
      </c>
      <c r="E26" s="25" t="n">
        <v>16700</v>
      </c>
      <c r="F26" s="25" t="n">
        <v>18370</v>
      </c>
    </row>
    <row r="27">
      <c r="A27" s="30" t="inlineStr">
        <is>
          <t>RM 417</t>
        </is>
      </c>
      <c r="B27" s="30" t="inlineStr">
        <is>
          <t>RMH</t>
        </is>
      </c>
      <c r="C27" s="26" t="n"/>
      <c r="D27" s="11" t="inlineStr">
        <is>
          <t>Taladro Bosch GSB 16RE</t>
        </is>
      </c>
      <c r="E27" s="26" t="n">
        <v>16500</v>
      </c>
      <c r="F27" s="26" t="n">
        <v>18150</v>
      </c>
    </row>
    <row r="28">
      <c r="A28" s="29" t="inlineStr">
        <is>
          <t>RM 418</t>
        </is>
      </c>
      <c r="B28" s="29" t="inlineStr">
        <is>
          <t>RMH</t>
        </is>
      </c>
      <c r="C28" s="25" t="n"/>
      <c r="D28" s="10" t="inlineStr">
        <is>
          <t>Martillo rotatorio GBH2-26DRE</t>
        </is>
      </c>
      <c r="E28" s="25" t="n">
        <v>16500</v>
      </c>
      <c r="F28" s="25" t="n">
        <v>18150</v>
      </c>
    </row>
    <row r="29">
      <c r="A29" s="30" t="inlineStr">
        <is>
          <t>RM 420</t>
        </is>
      </c>
      <c r="B29" s="30" t="inlineStr">
        <is>
          <t>RMH</t>
        </is>
      </c>
      <c r="C29" s="26" t="n"/>
      <c r="D29" s="11" t="inlineStr">
        <is>
          <t>Amoladora angular 180mm Metabo</t>
        </is>
      </c>
      <c r="E29" s="26" t="n">
        <v>16500</v>
      </c>
      <c r="F29" s="26" t="n">
        <v>18150</v>
      </c>
    </row>
    <row r="30">
      <c r="A30" s="29" t="inlineStr">
        <is>
          <t>RM 421</t>
        </is>
      </c>
      <c r="B30" s="29" t="inlineStr">
        <is>
          <t>RMH</t>
        </is>
      </c>
      <c r="C30" s="25" t="n"/>
      <c r="D30" s="10" t="inlineStr">
        <is>
          <t>Interruptor amoladora</t>
        </is>
      </c>
      <c r="E30" s="25" t="n">
        <v>9200</v>
      </c>
      <c r="F30" s="25" t="n">
        <v>10120</v>
      </c>
    </row>
    <row r="31">
      <c r="A31" s="30" t="inlineStr">
        <is>
          <t>RM 424</t>
        </is>
      </c>
      <c r="B31" s="30" t="inlineStr">
        <is>
          <t>RMH</t>
        </is>
      </c>
      <c r="C31" s="26" t="n"/>
      <c r="D31" s="11" t="inlineStr">
        <is>
          <t>Interruptor especial</t>
        </is>
      </c>
      <c r="E31" s="26" t="n">
        <v>36000</v>
      </c>
      <c r="F31" s="26" t="n">
        <v>39600</v>
      </c>
    </row>
    <row r="32">
      <c r="A32" s="29" t="inlineStr">
        <is>
          <t>RM 425</t>
        </is>
      </c>
      <c r="B32" s="29" t="inlineStr">
        <is>
          <t>RMH</t>
        </is>
      </c>
      <c r="C32" s="25" t="n"/>
      <c r="D32" s="10" t="inlineStr">
        <is>
          <t>Pulidora</t>
        </is>
      </c>
      <c r="E32" s="25" t="n">
        <v>16500</v>
      </c>
      <c r="F32" s="25" t="n">
        <v>18150</v>
      </c>
    </row>
    <row r="33">
      <c r="A33" s="30" t="inlineStr">
        <is>
          <t>RM 505</t>
        </is>
      </c>
      <c r="B33" s="30" t="inlineStr">
        <is>
          <t>RMH</t>
        </is>
      </c>
      <c r="C33" s="26" t="n"/>
      <c r="D33" s="11" t="inlineStr">
        <is>
          <t>Pulsador aparejo electrico</t>
        </is>
      </c>
      <c r="E33" s="26" t="n">
        <v>6600</v>
      </c>
      <c r="F33" s="26" t="n">
        <v>7260</v>
      </c>
    </row>
    <row r="34">
      <c r="A34" s="29" t="inlineStr">
        <is>
          <t>RM 506</t>
        </is>
      </c>
      <c r="B34" s="29" t="inlineStr">
        <is>
          <t>RMH</t>
        </is>
      </c>
      <c r="C34" s="25" t="n"/>
      <c r="D34" s="10" t="inlineStr">
        <is>
          <t>Llave 2 puntos</t>
        </is>
      </c>
      <c r="E34" s="25" t="n">
        <v>4700</v>
      </c>
      <c r="F34" s="25" t="n">
        <v>5170</v>
      </c>
    </row>
    <row r="35">
      <c r="A35" s="30" t="inlineStr">
        <is>
          <t>RM 714</t>
        </is>
      </c>
      <c r="B35" s="30" t="inlineStr">
        <is>
          <t>RMH</t>
        </is>
      </c>
      <c r="C35" s="26" t="n"/>
      <c r="D35" s="11" t="inlineStr">
        <is>
          <t>Amoladora Bosch 7 GWS21</t>
        </is>
      </c>
      <c r="E35" s="26" t="n">
        <v>16700</v>
      </c>
      <c r="F35" s="26" t="n">
        <v>18370</v>
      </c>
    </row>
    <row r="36">
      <c r="A36" s="29" t="inlineStr">
        <is>
          <t>RM 715</t>
        </is>
      </c>
      <c r="B36" s="29" t="inlineStr">
        <is>
          <t>RMH</t>
        </is>
      </c>
      <c r="C36" s="25" t="n"/>
      <c r="D36" s="10" t="inlineStr">
        <is>
          <t>Sierra circular de banco DW7950</t>
        </is>
      </c>
      <c r="E36" s="25" t="n">
        <v>42000</v>
      </c>
      <c r="F36" s="25" t="n">
        <v>46200</v>
      </c>
    </row>
    <row r="37">
      <c r="A37" s="30" t="inlineStr">
        <is>
          <t>RM 716</t>
        </is>
      </c>
      <c r="B37" s="30" t="inlineStr">
        <is>
          <t>RMH</t>
        </is>
      </c>
      <c r="C37" s="26" t="n"/>
      <c r="D37" s="11" t="inlineStr">
        <is>
          <t>Cepillo y sierras circulares</t>
        </is>
      </c>
      <c r="E37" s="26" t="n">
        <v>6300</v>
      </c>
      <c r="F37" s="26" t="n">
        <v>6930</v>
      </c>
    </row>
    <row r="38">
      <c r="A38" s="29" t="inlineStr">
        <is>
          <t>RM 717</t>
        </is>
      </c>
      <c r="B38" s="29" t="inlineStr">
        <is>
          <t>RMH</t>
        </is>
      </c>
      <c r="C38" s="25" t="n"/>
      <c r="D38" s="10" t="inlineStr">
        <is>
          <t>Amoladora B&amp;D angular</t>
        </is>
      </c>
      <c r="E38" s="25" t="n">
        <v>28600</v>
      </c>
      <c r="F38" s="25" t="n">
        <v>31460</v>
      </c>
    </row>
    <row r="39">
      <c r="A39" s="30" t="inlineStr">
        <is>
          <t>RM 718</t>
        </is>
      </c>
      <c r="B39" s="30" t="inlineStr">
        <is>
          <t>RMH</t>
        </is>
      </c>
      <c r="C39" s="26" t="n"/>
      <c r="D39" s="11" t="inlineStr">
        <is>
          <t>Sierra circular banco DWE7470</t>
        </is>
      </c>
      <c r="E39" s="26" t="n">
        <v>38000</v>
      </c>
      <c r="F39" s="26" t="n">
        <v>41800</v>
      </c>
    </row>
    <row r="40">
      <c r="A40" s="29" t="n"/>
      <c r="B40" s="29" t="n"/>
      <c r="C40" s="25" t="n"/>
      <c r="D40" s="10" t="n"/>
      <c r="E40" s="25" t="n"/>
      <c r="F40" s="25" t="n"/>
    </row>
    <row r="41">
      <c r="A41" s="30" t="n"/>
      <c r="B41" s="30" t="n"/>
      <c r="C41" s="26" t="n"/>
      <c r="D41" s="11" t="n"/>
      <c r="E41" s="26" t="n"/>
      <c r="F41" s="26" t="n"/>
    </row>
    <row r="42">
      <c r="A42" s="29" t="n"/>
      <c r="B42" s="29" t="n"/>
      <c r="C42" s="25" t="n"/>
      <c r="D42" s="10" t="n"/>
      <c r="E42" s="25" t="n"/>
      <c r="F42" s="25" t="n"/>
    </row>
    <row r="43">
      <c r="A43" s="30" t="n"/>
      <c r="B43" s="30" t="n"/>
      <c r="C43" s="26" t="n"/>
      <c r="D43" s="11" t="n"/>
      <c r="E43" s="26" t="n"/>
      <c r="F43" s="26" t="n"/>
    </row>
    <row r="44">
      <c r="A44" s="29" t="n"/>
      <c r="B44" s="29" t="n"/>
      <c r="C44" s="25" t="n"/>
      <c r="D44" s="10" t="n"/>
      <c r="E44" s="25" t="n"/>
      <c r="F44" s="25" t="n"/>
    </row>
    <row r="45">
      <c r="A45" s="30" t="n"/>
      <c r="B45" s="30" t="n"/>
      <c r="C45" s="26" t="n"/>
      <c r="D45" s="11" t="n"/>
      <c r="E45" s="26" t="n"/>
      <c r="F45" s="26" t="n"/>
    </row>
    <row r="46">
      <c r="A46" s="29" t="n"/>
      <c r="B46" s="29" t="n"/>
      <c r="C46" s="25" t="n"/>
      <c r="D46" s="10" t="n"/>
      <c r="E46" s="25" t="n"/>
      <c r="F46" s="25" t="n"/>
    </row>
    <row r="47">
      <c r="A47" s="30" t="n"/>
      <c r="B47" s="30" t="n"/>
      <c r="C47" s="26" t="n"/>
      <c r="D47" s="11" t="n"/>
      <c r="E47" s="26" t="n"/>
      <c r="F47" s="26" t="n"/>
    </row>
    <row r="48">
      <c r="A48" s="29" t="n"/>
      <c r="B48" s="29" t="n"/>
      <c r="C48" s="25" t="n"/>
      <c r="D48" s="10" t="n"/>
      <c r="E48" s="25" t="n"/>
      <c r="F48" s="25" t="n"/>
    </row>
    <row r="49">
      <c r="A49" s="30" t="n"/>
      <c r="B49" s="30" t="n"/>
      <c r="C49" s="26" t="n"/>
      <c r="D49" s="11" t="n"/>
      <c r="E49" s="26" t="n"/>
      <c r="F49" s="26" t="n"/>
    </row>
    <row r="50">
      <c r="A50" s="29" t="n"/>
      <c r="B50" s="29" t="n"/>
      <c r="C50" s="25" t="n"/>
      <c r="D50" s="10" t="n"/>
      <c r="E50" s="25" t="n"/>
      <c r="F50" s="25" t="n"/>
    </row>
    <row r="51">
      <c r="A51" s="30" t="n"/>
      <c r="B51" s="30" t="n"/>
      <c r="C51" s="26" t="n"/>
      <c r="D51" s="11" t="n"/>
      <c r="E51" s="26" t="n"/>
      <c r="F51" s="26" t="n"/>
    </row>
    <row r="52">
      <c r="A52" s="29" t="n"/>
      <c r="B52" s="29" t="n"/>
      <c r="C52" s="25" t="n"/>
      <c r="D52" s="10" t="n"/>
      <c r="E52" s="25" t="n"/>
      <c r="F52" s="25" t="n"/>
    </row>
    <row r="53">
      <c r="A53" s="30" t="n"/>
      <c r="B53" s="30" t="n"/>
      <c r="C53" s="26" t="n"/>
      <c r="D53" s="11" t="n"/>
      <c r="E53" s="26" t="n"/>
      <c r="F53" s="26" t="n"/>
    </row>
    <row r="54">
      <c r="A54" s="29" t="n"/>
      <c r="B54" s="29" t="n"/>
      <c r="C54" s="25" t="n"/>
      <c r="D54" s="10" t="n"/>
      <c r="E54" s="25" t="n"/>
      <c r="F54" s="25" t="n"/>
    </row>
    <row r="55">
      <c r="A55" s="30" t="n"/>
      <c r="B55" s="30" t="n"/>
      <c r="C55" s="26" t="n"/>
      <c r="D55" s="11" t="n"/>
      <c r="E55" s="26" t="n"/>
      <c r="F55" s="26" t="n"/>
    </row>
    <row r="56">
      <c r="A56" s="29" t="n"/>
      <c r="B56" s="29" t="n"/>
      <c r="C56" s="25" t="n"/>
      <c r="D56" s="10" t="n"/>
      <c r="E56" s="25" t="n"/>
      <c r="F56" s="25" t="n"/>
    </row>
    <row r="57">
      <c r="A57" s="30" t="n"/>
      <c r="B57" s="30" t="n"/>
      <c r="C57" s="26" t="n"/>
      <c r="D57" s="11" t="n"/>
      <c r="E57" s="26" t="n"/>
      <c r="F57" s="26" t="n"/>
    </row>
    <row r="58">
      <c r="A58" s="29" t="n"/>
      <c r="B58" s="29" t="n"/>
      <c r="C58" s="25" t="n"/>
      <c r="D58" s="10" t="n"/>
      <c r="E58" s="25" t="n"/>
      <c r="F58" s="25" t="n"/>
    </row>
    <row r="59">
      <c r="A59" s="30" t="n"/>
      <c r="B59" s="30" t="n"/>
      <c r="C59" s="26" t="n"/>
      <c r="D59" s="11" t="n"/>
      <c r="E59" s="26" t="n"/>
      <c r="F59" s="26" t="n"/>
    </row>
    <row r="60">
      <c r="A60" s="29" t="n"/>
      <c r="B60" s="29" t="n"/>
      <c r="C60" s="25" t="n"/>
      <c r="D60" s="10" t="n"/>
      <c r="E60" s="25" t="n"/>
      <c r="F60" s="25" t="n"/>
    </row>
    <row r="61">
      <c r="A61" s="30" t="n"/>
      <c r="B61" s="30" t="n"/>
      <c r="C61" s="26" t="n"/>
      <c r="D61" s="11" t="n"/>
      <c r="E61" s="26" t="n"/>
      <c r="F61" s="26" t="n"/>
    </row>
    <row r="62">
      <c r="A62" s="29" t="n"/>
      <c r="B62" s="29" t="n"/>
      <c r="C62" s="25" t="n"/>
      <c r="D62" s="10" t="n"/>
      <c r="E62" s="25" t="n"/>
      <c r="F62" s="25" t="n"/>
    </row>
    <row r="63">
      <c r="A63" s="30" t="n"/>
      <c r="B63" s="30" t="n"/>
      <c r="C63" s="26" t="n"/>
      <c r="D63" s="11" t="n"/>
      <c r="E63" s="26" t="n"/>
      <c r="F63" s="26" t="n"/>
    </row>
    <row r="64">
      <c r="A64" s="29" t="n"/>
      <c r="B64" s="29" t="n"/>
      <c r="C64" s="25" t="n"/>
      <c r="D64" s="10" t="n"/>
      <c r="E64" s="25" t="n"/>
      <c r="F64" s="25" t="n"/>
    </row>
    <row r="65">
      <c r="A65" s="30" t="n"/>
      <c r="B65" s="30" t="n"/>
      <c r="C65" s="26" t="n"/>
      <c r="D65" s="11" t="n"/>
      <c r="E65" s="26" t="n"/>
      <c r="F65" s="26" t="n"/>
    </row>
    <row r="66">
      <c r="A66" s="29" t="n"/>
      <c r="B66" s="29" t="n"/>
      <c r="C66" s="25" t="n"/>
      <c r="D66" s="10" t="n"/>
      <c r="E66" s="25" t="n"/>
      <c r="F66" s="25" t="n"/>
    </row>
    <row r="67">
      <c r="A67" s="30" t="n"/>
      <c r="B67" s="30" t="n"/>
      <c r="C67" s="26" t="n"/>
      <c r="D67" s="11" t="n"/>
      <c r="E67" s="26" t="n"/>
      <c r="F67" s="26" t="n"/>
    </row>
    <row r="68">
      <c r="A68" s="29" t="n"/>
      <c r="B68" s="29" t="n"/>
      <c r="C68" s="25" t="n"/>
      <c r="D68" s="10" t="n"/>
      <c r="E68" s="25" t="n"/>
      <c r="F68" s="25" t="n"/>
    </row>
    <row r="69">
      <c r="A69" s="30" t="n"/>
      <c r="B69" s="30" t="n"/>
      <c r="C69" s="26" t="n"/>
      <c r="D69" s="11" t="n"/>
      <c r="E69" s="26" t="n"/>
      <c r="F69" s="26" t="n"/>
    </row>
    <row r="70">
      <c r="A70" s="29" t="n"/>
      <c r="B70" s="29" t="n"/>
      <c r="C70" s="25" t="n"/>
      <c r="D70" s="10" t="n"/>
      <c r="E70" s="25" t="n"/>
      <c r="F70" s="25" t="n"/>
    </row>
    <row r="71">
      <c r="A71" s="30" t="n"/>
      <c r="B71" s="30" t="n"/>
      <c r="C71" s="26" t="n"/>
      <c r="D71" s="11" t="n"/>
      <c r="E71" s="26" t="n"/>
      <c r="F71" s="26" t="n"/>
    </row>
    <row r="72">
      <c r="A72" s="29" t="n"/>
      <c r="B72" s="29" t="n"/>
      <c r="C72" s="25" t="n"/>
      <c r="D72" s="10" t="n"/>
      <c r="E72" s="25" t="n"/>
      <c r="F72" s="25" t="n"/>
    </row>
    <row r="73">
      <c r="A73" s="30" t="n"/>
      <c r="B73" s="30" t="n"/>
      <c r="C73" s="26" t="n"/>
      <c r="D73" s="11" t="n"/>
      <c r="E73" s="26" t="n"/>
      <c r="F73" s="26" t="n"/>
    </row>
    <row r="74">
      <c r="A74" s="29" t="n"/>
      <c r="B74" s="29" t="n"/>
      <c r="C74" s="25" t="n"/>
      <c r="D74" s="10" t="n"/>
      <c r="E74" s="25" t="n"/>
      <c r="F74" s="25" t="n"/>
    </row>
    <row r="75">
      <c r="A75" s="30" t="n"/>
      <c r="B75" s="30" t="n"/>
      <c r="C75" s="26" t="n"/>
      <c r="D75" s="11" t="n"/>
      <c r="E75" s="26" t="n"/>
      <c r="F75" s="26" t="n"/>
    </row>
    <row r="76">
      <c r="A76" s="29" t="n"/>
      <c r="B76" s="29" t="n"/>
      <c r="C76" s="25" t="n"/>
      <c r="D76" s="10" t="n"/>
      <c r="E76" s="25" t="n"/>
      <c r="F76" s="25" t="n"/>
    </row>
    <row r="77">
      <c r="A77" s="30" t="n"/>
      <c r="B77" s="30" t="n"/>
      <c r="C77" s="26" t="n"/>
      <c r="D77" s="11" t="n"/>
      <c r="E77" s="26" t="n"/>
      <c r="F77" s="26" t="n"/>
    </row>
    <row r="78">
      <c r="A78" s="29" t="n"/>
      <c r="B78" s="29" t="n"/>
      <c r="C78" s="25" t="n"/>
      <c r="D78" s="10" t="n"/>
      <c r="E78" s="25" t="n"/>
      <c r="F78" s="25" t="n"/>
    </row>
    <row r="79">
      <c r="A79" s="30" t="n"/>
      <c r="B79" s="30" t="n"/>
      <c r="C79" s="26" t="n"/>
      <c r="D79" s="11" t="n"/>
      <c r="E79" s="26" t="n"/>
      <c r="F79" s="26" t="n"/>
    </row>
    <row r="80">
      <c r="A80" s="29" t="n"/>
      <c r="B80" s="29" t="n"/>
      <c r="C80" s="25" t="n"/>
      <c r="D80" s="10" t="n"/>
      <c r="E80" s="25" t="n"/>
      <c r="F80" s="25" t="n"/>
    </row>
    <row r="81">
      <c r="A81" s="30" t="n"/>
      <c r="B81" s="30" t="n"/>
      <c r="C81" s="26" t="n"/>
      <c r="D81" s="11" t="n"/>
      <c r="E81" s="26" t="n"/>
      <c r="F81" s="26" t="n"/>
    </row>
    <row r="82">
      <c r="A82" s="29" t="n"/>
      <c r="B82" s="29" t="n"/>
      <c r="C82" s="25" t="n"/>
      <c r="D82" s="10" t="n"/>
      <c r="E82" s="25" t="n"/>
      <c r="F82" s="25" t="n"/>
    </row>
    <row r="83">
      <c r="A83" s="30" t="n"/>
      <c r="B83" s="30" t="n"/>
      <c r="C83" s="26" t="n"/>
      <c r="D83" s="11" t="n"/>
      <c r="E83" s="26" t="n"/>
      <c r="F83" s="26" t="n"/>
    </row>
    <row r="84">
      <c r="A84" s="29" t="n"/>
      <c r="B84" s="29" t="n"/>
      <c r="C84" s="25" t="n"/>
      <c r="D84" s="10" t="n"/>
      <c r="E84" s="25" t="n"/>
      <c r="F84" s="25" t="n"/>
    </row>
    <row r="85">
      <c r="A85" s="30" t="n"/>
      <c r="B85" s="30" t="n"/>
      <c r="C85" s="26" t="n"/>
      <c r="D85" s="11" t="n"/>
      <c r="E85" s="26" t="n"/>
      <c r="F85" s="26" t="n"/>
    </row>
    <row r="86">
      <c r="A86" s="29" t="n"/>
      <c r="B86" s="29" t="n"/>
      <c r="C86" s="25" t="n"/>
      <c r="D86" s="10" t="n"/>
      <c r="E86" s="25" t="n"/>
      <c r="F86" s="25" t="n"/>
    </row>
    <row r="87">
      <c r="A87" s="30" t="n"/>
      <c r="B87" s="30" t="n"/>
      <c r="C87" s="26" t="n"/>
      <c r="D87" s="11" t="n"/>
      <c r="E87" s="26" t="n"/>
      <c r="F87" s="26" t="n"/>
    </row>
    <row r="88">
      <c r="A88" s="29" t="n"/>
      <c r="B88" s="29" t="n"/>
      <c r="C88" s="25" t="n"/>
      <c r="D88" s="10" t="n"/>
      <c r="E88" s="25" t="n"/>
      <c r="F88" s="25" t="n"/>
    </row>
    <row r="89">
      <c r="A89" s="30" t="n"/>
      <c r="B89" s="30" t="n"/>
      <c r="C89" s="26" t="n"/>
      <c r="D89" s="11" t="n"/>
      <c r="E89" s="26" t="n"/>
      <c r="F89" s="26" t="n"/>
    </row>
    <row r="90">
      <c r="A90" s="29" t="n"/>
      <c r="B90" s="29" t="n"/>
      <c r="C90" s="25" t="n"/>
      <c r="D90" s="10" t="n"/>
      <c r="E90" s="25" t="n"/>
      <c r="F90" s="25" t="n"/>
    </row>
    <row r="91">
      <c r="A91" s="30" t="n"/>
      <c r="B91" s="30" t="n"/>
      <c r="C91" s="26" t="n"/>
      <c r="D91" s="11" t="n"/>
      <c r="E91" s="26" t="n"/>
      <c r="F91" s="26" t="n"/>
    </row>
    <row r="92">
      <c r="A92" s="29" t="n"/>
      <c r="B92" s="29" t="n"/>
      <c r="C92" s="25" t="n"/>
      <c r="D92" s="10" t="n"/>
      <c r="E92" s="25" t="n"/>
      <c r="F92" s="25" t="n"/>
    </row>
    <row r="93">
      <c r="A93" s="30" t="n"/>
      <c r="B93" s="30" t="n"/>
      <c r="C93" s="26" t="n"/>
      <c r="D93" s="11" t="n"/>
      <c r="E93" s="26" t="n"/>
      <c r="F93" s="26" t="n"/>
    </row>
    <row r="94">
      <c r="A94" s="29" t="n"/>
      <c r="B94" s="29" t="n"/>
      <c r="C94" s="25" t="n"/>
      <c r="D94" s="10" t="n"/>
      <c r="E94" s="25" t="n"/>
      <c r="F94" s="25" t="n"/>
    </row>
    <row r="95">
      <c r="A95" s="30" t="n"/>
      <c r="B95" s="30" t="n"/>
      <c r="C95" s="26" t="n"/>
      <c r="D95" s="11" t="n"/>
      <c r="E95" s="26" t="n"/>
      <c r="F95" s="26" t="n"/>
    </row>
    <row r="96">
      <c r="A96" s="29" t="n"/>
      <c r="B96" s="29" t="n"/>
      <c r="C96" s="25" t="n"/>
      <c r="D96" s="10" t="n"/>
      <c r="E96" s="25" t="n"/>
      <c r="F96" s="25" t="n"/>
    </row>
    <row r="97">
      <c r="A97" s="30" t="n"/>
      <c r="B97" s="30" t="n"/>
      <c r="C97" s="26" t="n"/>
      <c r="D97" s="11" t="n"/>
      <c r="E97" s="26" t="n"/>
      <c r="F97" s="26" t="n"/>
    </row>
    <row r="98">
      <c r="A98" s="29" t="n"/>
      <c r="B98" s="29" t="n"/>
      <c r="C98" s="25" t="n"/>
      <c r="D98" s="10" t="n"/>
      <c r="E98" s="25" t="n"/>
      <c r="F98" s="25" t="n"/>
    </row>
    <row r="99">
      <c r="A99" s="30" t="n"/>
      <c r="B99" s="30" t="n"/>
      <c r="C99" s="26" t="n"/>
      <c r="D99" s="11" t="n"/>
      <c r="E99" s="26" t="n"/>
      <c r="F99" s="26" t="n"/>
    </row>
    <row r="100">
      <c r="A100" s="29" t="n"/>
      <c r="B100" s="29" t="n"/>
      <c r="C100" s="25" t="n"/>
      <c r="D100" s="10" t="n"/>
      <c r="E100" s="25" t="n"/>
      <c r="F100" s="25" t="n"/>
    </row>
    <row r="101">
      <c r="A101" s="30" t="n"/>
      <c r="B101" s="30" t="n"/>
      <c r="C101" s="26" t="n"/>
      <c r="D101" s="11" t="n"/>
      <c r="E101" s="26" t="n"/>
      <c r="F101" s="26" t="n"/>
    </row>
    <row r="102">
      <c r="A102" s="29" t="n"/>
      <c r="B102" s="29" t="n"/>
      <c r="C102" s="25" t="n"/>
      <c r="D102" s="10" t="n"/>
      <c r="E102" s="25" t="n"/>
      <c r="F102" s="25" t="n"/>
    </row>
    <row r="103">
      <c r="A103" s="30" t="n"/>
      <c r="B103" s="30" t="n"/>
      <c r="C103" s="26" t="n"/>
      <c r="D103" s="11" t="n"/>
      <c r="E103" s="26" t="n"/>
      <c r="F103" s="26" t="n"/>
    </row>
    <row r="104">
      <c r="A104" s="29" t="n"/>
      <c r="B104" s="29" t="n"/>
      <c r="C104" s="25" t="n"/>
      <c r="D104" s="10" t="n"/>
      <c r="E104" s="25" t="n"/>
      <c r="F104" s="25" t="n"/>
    </row>
    <row r="105">
      <c r="A105" s="30" t="n"/>
      <c r="B105" s="30" t="n"/>
      <c r="C105" s="26" t="n"/>
      <c r="D105" s="11" t="n"/>
      <c r="E105" s="26" t="n"/>
      <c r="F105" s="26" t="n"/>
    </row>
    <row r="106">
      <c r="A106" s="29" t="n"/>
      <c r="B106" s="29" t="n"/>
      <c r="C106" s="25" t="n"/>
      <c r="D106" s="10" t="n"/>
      <c r="E106" s="25" t="n"/>
      <c r="F106" s="25" t="n"/>
    </row>
    <row r="107">
      <c r="A107" s="30" t="n"/>
      <c r="B107" s="30" t="n"/>
      <c r="C107" s="26" t="n"/>
      <c r="D107" s="11" t="n"/>
      <c r="E107" s="26" t="n"/>
      <c r="F107" s="26" t="n"/>
    </row>
    <row r="108">
      <c r="A108" s="29" t="n"/>
      <c r="B108" s="29" t="n"/>
      <c r="C108" s="25" t="n"/>
      <c r="D108" s="10" t="n"/>
      <c r="E108" s="25" t="n"/>
      <c r="F108" s="25" t="n"/>
    </row>
    <row r="109">
      <c r="A109" s="30" t="n"/>
      <c r="B109" s="30" t="n"/>
      <c r="C109" s="26" t="n"/>
      <c r="D109" s="11" t="n"/>
      <c r="E109" s="26" t="n"/>
      <c r="F109" s="26" t="n"/>
    </row>
    <row r="110">
      <c r="A110" s="29" t="n"/>
      <c r="B110" s="29" t="n"/>
      <c r="C110" s="25" t="n"/>
      <c r="D110" s="10" t="n"/>
      <c r="E110" s="25" t="n"/>
      <c r="F110" s="25" t="n"/>
    </row>
    <row r="111">
      <c r="A111" s="30" t="n"/>
      <c r="B111" s="30" t="n"/>
      <c r="C111" s="26" t="n"/>
      <c r="D111" s="11" t="n"/>
      <c r="E111" s="26" t="n"/>
      <c r="F111" s="26" t="n"/>
    </row>
    <row r="112">
      <c r="A112" s="29" t="n"/>
      <c r="B112" s="29" t="n"/>
      <c r="C112" s="25" t="n"/>
      <c r="D112" s="10" t="n"/>
      <c r="E112" s="25" t="n"/>
      <c r="F112" s="25" t="n"/>
    </row>
    <row r="113">
      <c r="A113" s="30" t="n"/>
      <c r="B113" s="30" t="n"/>
      <c r="C113" s="26" t="n"/>
      <c r="D113" s="11" t="n"/>
      <c r="E113" s="26" t="n"/>
      <c r="F113" s="26" t="n"/>
    </row>
    <row r="114">
      <c r="A114" s="29" t="n"/>
      <c r="B114" s="29" t="n"/>
      <c r="C114" s="25" t="n"/>
      <c r="D114" s="10" t="n"/>
      <c r="E114" s="25" t="n"/>
      <c r="F114" s="25" t="n"/>
    </row>
    <row r="115">
      <c r="A115" s="30" t="n"/>
      <c r="B115" s="30" t="n"/>
      <c r="C115" s="26" t="n"/>
      <c r="D115" s="11" t="n"/>
      <c r="E115" s="26" t="n"/>
      <c r="F115" s="26" t="n"/>
    </row>
    <row r="116">
      <c r="A116" s="29" t="n"/>
      <c r="B116" s="29" t="n"/>
      <c r="C116" s="25" t="n"/>
      <c r="D116" s="10" t="n"/>
      <c r="E116" s="25" t="n"/>
      <c r="F116" s="25" t="n"/>
    </row>
    <row r="117">
      <c r="A117" s="30" t="n"/>
      <c r="B117" s="30" t="n"/>
      <c r="C117" s="26" t="n"/>
      <c r="D117" s="11" t="n"/>
      <c r="E117" s="26" t="n"/>
      <c r="F117" s="26" t="n"/>
    </row>
    <row r="118">
      <c r="A118" s="29" t="n"/>
      <c r="B118" s="29" t="n"/>
      <c r="C118" s="25" t="n"/>
      <c r="D118" s="10" t="n"/>
      <c r="E118" s="25" t="n"/>
      <c r="F118" s="25" t="n"/>
    </row>
    <row r="119">
      <c r="A119" s="30" t="n"/>
      <c r="B119" s="30" t="n"/>
      <c r="C119" s="26" t="n"/>
      <c r="D119" s="11" t="n"/>
      <c r="E119" s="26" t="n"/>
      <c r="F119" s="26" t="n"/>
    </row>
    <row r="120">
      <c r="A120" s="29" t="n"/>
      <c r="B120" s="29" t="n"/>
      <c r="C120" s="25" t="n"/>
      <c r="D120" s="10" t="n"/>
      <c r="E120" s="25" t="n"/>
      <c r="F120" s="25" t="n"/>
    </row>
    <row r="121">
      <c r="A121" s="30" t="n"/>
      <c r="B121" s="30" t="n"/>
      <c r="C121" s="26" t="n"/>
      <c r="D121" s="11" t="n"/>
      <c r="E121" s="26" t="n"/>
      <c r="F121" s="26" t="n"/>
    </row>
    <row r="122">
      <c r="A122" s="29" t="n"/>
      <c r="B122" s="29" t="n"/>
      <c r="C122" s="25" t="n"/>
      <c r="D122" s="10" t="n"/>
      <c r="E122" s="25" t="n"/>
      <c r="F122" s="25" t="n"/>
    </row>
    <row r="123">
      <c r="A123" s="30" t="n"/>
      <c r="B123" s="30" t="n"/>
      <c r="C123" s="26" t="n"/>
      <c r="D123" s="11" t="n"/>
      <c r="E123" s="26" t="n"/>
      <c r="F123" s="26" t="n"/>
    </row>
    <row r="124">
      <c r="A124" s="29" t="n"/>
      <c r="B124" s="29" t="n"/>
      <c r="C124" s="25" t="n"/>
      <c r="D124" s="10" t="n"/>
      <c r="E124" s="25" t="n"/>
      <c r="F124" s="25" t="n"/>
    </row>
    <row r="125">
      <c r="A125" s="30" t="n"/>
      <c r="B125" s="30" t="n"/>
      <c r="C125" s="26" t="n"/>
      <c r="D125" s="11" t="n"/>
      <c r="E125" s="26" t="n"/>
      <c r="F125" s="26" t="n"/>
    </row>
    <row r="126">
      <c r="A126" s="29" t="n"/>
      <c r="B126" s="29" t="n"/>
      <c r="C126" s="25" t="n"/>
      <c r="D126" s="10" t="n"/>
      <c r="E126" s="25" t="n"/>
      <c r="F126" s="25" t="n"/>
    </row>
    <row r="127">
      <c r="A127" s="30" t="n"/>
      <c r="B127" s="30" t="n"/>
      <c r="C127" s="26" t="n"/>
      <c r="D127" s="11" t="n"/>
      <c r="E127" s="26" t="n"/>
      <c r="F127" s="26" t="n"/>
    </row>
    <row r="128">
      <c r="A128" s="29" t="n"/>
      <c r="B128" s="29" t="n"/>
      <c r="C128" s="25" t="n"/>
      <c r="D128" s="10" t="n"/>
      <c r="E128" s="25" t="n"/>
      <c r="F128" s="25" t="n"/>
    </row>
    <row r="129">
      <c r="A129" s="30" t="n"/>
      <c r="B129" s="30" t="n"/>
      <c r="C129" s="26" t="n"/>
      <c r="D129" s="11" t="n"/>
      <c r="E129" s="26" t="n"/>
      <c r="F129" s="26" t="n"/>
    </row>
    <row r="130">
      <c r="A130" s="29" t="n"/>
      <c r="B130" s="29" t="n"/>
      <c r="C130" s="25" t="n"/>
      <c r="D130" s="10" t="n"/>
      <c r="E130" s="25" t="n"/>
      <c r="F130" s="25" t="n"/>
    </row>
    <row r="131">
      <c r="A131" s="30" t="n"/>
      <c r="B131" s="30" t="n"/>
      <c r="C131" s="26" t="n"/>
      <c r="D131" s="11" t="n"/>
      <c r="E131" s="26" t="n"/>
      <c r="F131" s="26" t="n"/>
    </row>
    <row r="132">
      <c r="A132" s="29" t="n"/>
      <c r="B132" s="29" t="n"/>
      <c r="C132" s="25" t="n"/>
      <c r="D132" s="10" t="n"/>
      <c r="E132" s="25" t="n"/>
      <c r="F132" s="25" t="n"/>
    </row>
    <row r="133">
      <c r="A133" s="30" t="n"/>
      <c r="B133" s="30" t="n"/>
      <c r="C133" s="26" t="n"/>
      <c r="D133" s="11" t="n"/>
      <c r="E133" s="26" t="n"/>
      <c r="F133" s="26" t="n"/>
    </row>
    <row r="134">
      <c r="A134" s="29" t="n"/>
      <c r="B134" s="29" t="n"/>
      <c r="C134" s="25" t="n"/>
      <c r="D134" s="10" t="n"/>
      <c r="E134" s="25" t="n"/>
      <c r="F134" s="25" t="n"/>
    </row>
    <row r="135">
      <c r="A135" s="30" t="n"/>
      <c r="B135" s="30" t="n"/>
      <c r="C135" s="26" t="n"/>
      <c r="D135" s="11" t="n"/>
      <c r="E135" s="26" t="n"/>
      <c r="F135" s="26" t="n"/>
    </row>
    <row r="136">
      <c r="A136" s="29" t="n"/>
      <c r="B136" s="29" t="n"/>
      <c r="C136" s="25" t="n"/>
      <c r="D136" s="10" t="n"/>
      <c r="E136" s="25" t="n"/>
      <c r="F136" s="25" t="n"/>
    </row>
    <row r="137">
      <c r="A137" s="30" t="n"/>
      <c r="B137" s="30" t="n"/>
      <c r="C137" s="26" t="n"/>
      <c r="D137" s="11" t="n"/>
      <c r="E137" s="26" t="n"/>
      <c r="F137" s="26" t="n"/>
    </row>
    <row r="138">
      <c r="A138" s="29" t="n"/>
      <c r="B138" s="29" t="n"/>
      <c r="C138" s="25" t="n"/>
      <c r="D138" s="10" t="n"/>
      <c r="E138" s="25" t="n"/>
      <c r="F138" s="25" t="n"/>
    </row>
    <row r="139">
      <c r="A139" s="30" t="n"/>
      <c r="B139" s="30" t="n"/>
      <c r="C139" s="26" t="n"/>
      <c r="D139" s="11" t="n"/>
      <c r="E139" s="26" t="n"/>
      <c r="F139" s="26" t="n"/>
    </row>
    <row r="140">
      <c r="A140" s="29" t="n"/>
      <c r="B140" s="29" t="n"/>
      <c r="C140" s="25" t="n"/>
      <c r="D140" s="10" t="n"/>
      <c r="E140" s="25" t="n"/>
      <c r="F140" s="25" t="n"/>
    </row>
    <row r="141">
      <c r="A141" s="30" t="n"/>
      <c r="B141" s="30" t="n"/>
      <c r="C141" s="26" t="n"/>
      <c r="D141" s="11" t="n"/>
      <c r="E141" s="26" t="n"/>
      <c r="F141" s="26" t="n"/>
    </row>
    <row r="142">
      <c r="A142" s="29" t="n"/>
      <c r="B142" s="29" t="n"/>
      <c r="C142" s="25" t="n"/>
      <c r="D142" s="10" t="n"/>
      <c r="E142" s="25" t="n"/>
      <c r="F142" s="25" t="n"/>
    </row>
    <row r="143">
      <c r="A143" s="30" t="n"/>
      <c r="B143" s="30" t="n"/>
      <c r="C143" s="26" t="n"/>
      <c r="D143" s="11" t="n"/>
      <c r="E143" s="26" t="n"/>
      <c r="F143" s="26" t="n"/>
    </row>
    <row r="144">
      <c r="A144" s="29" t="n"/>
      <c r="B144" s="29" t="n"/>
      <c r="C144" s="25" t="n"/>
      <c r="D144" s="10" t="n"/>
      <c r="E144" s="25" t="n"/>
      <c r="F144" s="25" t="n"/>
    </row>
    <row r="145">
      <c r="A145" s="30" t="n"/>
      <c r="B145" s="30" t="n"/>
      <c r="C145" s="26" t="n"/>
      <c r="D145" s="11" t="n"/>
      <c r="E145" s="26" t="n"/>
      <c r="F145" s="26" t="n"/>
    </row>
    <row r="146">
      <c r="A146" s="29" t="n"/>
      <c r="B146" s="29" t="n"/>
      <c r="C146" s="25" t="n"/>
      <c r="D146" s="10" t="n"/>
      <c r="E146" s="25" t="n"/>
      <c r="F146" s="25" t="n"/>
    </row>
    <row r="147">
      <c r="A147" s="30" t="n"/>
      <c r="B147" s="30" t="n"/>
      <c r="C147" s="26" t="n"/>
      <c r="D147" s="11" t="n"/>
      <c r="E147" s="26" t="n"/>
      <c r="F147" s="26" t="n"/>
    </row>
    <row r="148">
      <c r="A148" s="29" t="n"/>
      <c r="B148" s="29" t="n"/>
      <c r="C148" s="25" t="n"/>
      <c r="D148" s="10" t="n"/>
      <c r="E148" s="25" t="n"/>
      <c r="F148" s="25" t="n"/>
    </row>
    <row r="149">
      <c r="A149" s="30" t="n"/>
      <c r="B149" s="30" t="n"/>
      <c r="C149" s="26" t="n"/>
      <c r="D149" s="11" t="n"/>
      <c r="E149" s="26" t="n"/>
      <c r="F149" s="26" t="n"/>
    </row>
    <row r="150">
      <c r="A150" s="29" t="n"/>
      <c r="B150" s="29" t="n"/>
      <c r="C150" s="25" t="n"/>
      <c r="D150" s="10" t="n"/>
      <c r="E150" s="25" t="n"/>
      <c r="F150" s="25" t="n"/>
    </row>
    <row r="151">
      <c r="A151" s="30" t="n"/>
      <c r="B151" s="30" t="n"/>
      <c r="C151" s="26" t="n"/>
      <c r="D151" s="11" t="n"/>
      <c r="E151" s="26" t="n"/>
      <c r="F151" s="26" t="n"/>
    </row>
    <row r="152">
      <c r="A152" s="29" t="n"/>
      <c r="B152" s="29" t="n"/>
      <c r="C152" s="25" t="n"/>
      <c r="D152" s="10" t="n"/>
      <c r="E152" s="25" t="n"/>
      <c r="F152" s="25" t="n"/>
    </row>
    <row r="153">
      <c r="A153" s="30" t="n"/>
      <c r="B153" s="30" t="n"/>
      <c r="C153" s="26" t="n"/>
      <c r="D153" s="11" t="n"/>
      <c r="E153" s="26" t="n"/>
      <c r="F153" s="26" t="n"/>
    </row>
    <row r="154">
      <c r="A154" s="29" t="n"/>
      <c r="B154" s="29" t="n"/>
      <c r="C154" s="25" t="n"/>
      <c r="D154" s="10" t="n"/>
      <c r="E154" s="25" t="n"/>
      <c r="F154" s="25" t="n"/>
    </row>
    <row r="155">
      <c r="A155" s="30" t="n"/>
      <c r="B155" s="30" t="n"/>
      <c r="C155" s="26" t="n"/>
      <c r="D155" s="11" t="n"/>
      <c r="E155" s="26" t="n"/>
      <c r="F155" s="26" t="n"/>
    </row>
    <row r="156">
      <c r="A156" s="29" t="n"/>
      <c r="B156" s="29" t="n"/>
      <c r="C156" s="25" t="n"/>
      <c r="D156" s="10" t="n"/>
      <c r="E156" s="25" t="n"/>
      <c r="F156" s="25" t="n"/>
    </row>
    <row r="157">
      <c r="A157" s="30" t="n"/>
      <c r="B157" s="30" t="n"/>
      <c r="C157" s="26" t="n"/>
      <c r="D157" s="11" t="n"/>
      <c r="E157" s="26" t="n"/>
      <c r="F157" s="26" t="n"/>
    </row>
    <row r="158">
      <c r="A158" s="29" t="n"/>
      <c r="B158" s="29" t="n"/>
      <c r="C158" s="25" t="n"/>
      <c r="D158" s="10" t="n"/>
      <c r="E158" s="25" t="n"/>
      <c r="F158" s="25" t="n"/>
    </row>
    <row r="159">
      <c r="A159" s="30" t="n"/>
      <c r="B159" s="30" t="n"/>
      <c r="C159" s="26" t="n"/>
      <c r="D159" s="11" t="n"/>
      <c r="E159" s="26" t="n"/>
      <c r="F159" s="26" t="n"/>
    </row>
    <row r="160">
      <c r="A160" s="29" t="n"/>
      <c r="B160" s="29" t="n"/>
      <c r="C160" s="25" t="n"/>
      <c r="D160" s="10" t="n"/>
      <c r="E160" s="25" t="n"/>
      <c r="F160" s="25" t="n"/>
    </row>
    <row r="161">
      <c r="A161" s="30" t="n"/>
      <c r="B161" s="30" t="n"/>
      <c r="C161" s="26" t="n"/>
      <c r="D161" s="11" t="n"/>
      <c r="E161" s="26" t="n"/>
      <c r="F161" s="26" t="n"/>
    </row>
    <row r="162">
      <c r="A162" s="29" t="n"/>
      <c r="B162" s="29" t="n"/>
      <c r="C162" s="25" t="n"/>
      <c r="D162" s="10" t="n"/>
      <c r="E162" s="25" t="n"/>
      <c r="F162" s="25" t="n"/>
    </row>
    <row r="163">
      <c r="A163" s="30" t="n"/>
      <c r="B163" s="30" t="n"/>
      <c r="C163" s="26" t="n"/>
      <c r="D163" s="11" t="n"/>
      <c r="E163" s="26" t="n"/>
      <c r="F163" s="26" t="n"/>
    </row>
    <row r="164">
      <c r="A164" s="29" t="n"/>
      <c r="B164" s="29" t="n"/>
      <c r="C164" s="25" t="n"/>
      <c r="D164" s="10" t="n"/>
      <c r="E164" s="25" t="n"/>
      <c r="F164" s="25" t="n"/>
    </row>
    <row r="165">
      <c r="A165" s="30" t="n"/>
      <c r="B165" s="30" t="n"/>
      <c r="C165" s="26" t="n"/>
      <c r="D165" s="11" t="n"/>
      <c r="E165" s="26" t="n"/>
      <c r="F165" s="26" t="n"/>
    </row>
    <row r="166">
      <c r="A166" s="29" t="n"/>
      <c r="B166" s="29" t="n"/>
      <c r="C166" s="25" t="n"/>
      <c r="D166" s="10" t="n"/>
      <c r="E166" s="25" t="n"/>
      <c r="F166" s="25" t="n"/>
    </row>
    <row r="167">
      <c r="A167" s="30" t="n"/>
      <c r="B167" s="30" t="n"/>
      <c r="C167" s="26" t="n"/>
      <c r="D167" s="11" t="n"/>
      <c r="E167" s="26" t="n"/>
      <c r="F167" s="26" t="n"/>
    </row>
    <row r="168">
      <c r="A168" s="29" t="n"/>
      <c r="B168" s="29" t="n"/>
      <c r="C168" s="25" t="n"/>
      <c r="D168" s="10" t="n"/>
      <c r="E168" s="25" t="n"/>
      <c r="F168" s="25" t="n"/>
    </row>
    <row r="169">
      <c r="A169" s="30" t="n"/>
      <c r="B169" s="30" t="n"/>
      <c r="C169" s="26" t="n"/>
      <c r="D169" s="11" t="n"/>
      <c r="E169" s="26" t="n"/>
      <c r="F169" s="26" t="n"/>
    </row>
    <row r="170">
      <c r="A170" s="29" t="n"/>
      <c r="B170" s="29" t="n"/>
      <c r="C170" s="25" t="n"/>
      <c r="D170" s="10" t="n"/>
      <c r="E170" s="25" t="n"/>
      <c r="F170" s="25" t="n"/>
    </row>
    <row r="171">
      <c r="A171" s="30" t="n"/>
      <c r="B171" s="30" t="n"/>
      <c r="C171" s="26" t="n"/>
      <c r="D171" s="11" t="n"/>
      <c r="E171" s="26" t="n"/>
      <c r="F171" s="26" t="n"/>
    </row>
    <row r="172">
      <c r="A172" s="29" t="n"/>
      <c r="B172" s="29" t="n"/>
      <c r="C172" s="25" t="n"/>
      <c r="D172" s="10" t="n"/>
      <c r="E172" s="25" t="n"/>
      <c r="F172" s="25" t="n"/>
    </row>
    <row r="173">
      <c r="A173" s="30" t="n"/>
      <c r="B173" s="30" t="n"/>
      <c r="C173" s="26" t="n"/>
      <c r="D173" s="11" t="n"/>
      <c r="E173" s="26" t="n"/>
      <c r="F173" s="26" t="n"/>
    </row>
    <row r="174">
      <c r="A174" s="29" t="n"/>
      <c r="B174" s="29" t="n"/>
      <c r="C174" s="25" t="n"/>
      <c r="D174" s="10" t="n"/>
      <c r="E174" s="25" t="n"/>
      <c r="F174" s="25" t="n"/>
    </row>
    <row r="175">
      <c r="A175" s="30" t="n"/>
      <c r="B175" s="30" t="n"/>
      <c r="C175" s="26" t="n"/>
      <c r="D175" s="11" t="n"/>
      <c r="E175" s="26" t="n"/>
      <c r="F175" s="26" t="n"/>
    </row>
    <row r="176">
      <c r="A176" s="29" t="n"/>
      <c r="B176" s="29" t="n"/>
      <c r="C176" s="25" t="n"/>
      <c r="D176" s="10" t="n"/>
      <c r="E176" s="25" t="n"/>
      <c r="F176" s="25" t="n"/>
    </row>
    <row r="177">
      <c r="A177" s="30" t="n"/>
      <c r="B177" s="30" t="n"/>
      <c r="C177" s="26" t="n"/>
      <c r="D177" s="11" t="n"/>
      <c r="E177" s="26" t="n"/>
      <c r="F177" s="26" t="n"/>
    </row>
    <row r="178">
      <c r="A178" s="29" t="n"/>
      <c r="B178" s="29" t="n"/>
      <c r="C178" s="25" t="n"/>
      <c r="D178" s="10" t="n"/>
      <c r="E178" s="25" t="n"/>
      <c r="F178" s="25" t="n"/>
    </row>
    <row r="179">
      <c r="A179" s="30" t="n"/>
      <c r="B179" s="30" t="n"/>
      <c r="C179" s="26" t="n"/>
      <c r="D179" s="11" t="n"/>
      <c r="E179" s="26" t="n"/>
      <c r="F179" s="26" t="n"/>
    </row>
    <row r="180">
      <c r="A180" s="29" t="n"/>
      <c r="B180" s="29" t="n"/>
      <c r="C180" s="25" t="n"/>
      <c r="D180" s="10" t="n"/>
      <c r="E180" s="25" t="n"/>
      <c r="F180" s="25" t="n"/>
    </row>
    <row r="181">
      <c r="A181" s="30" t="n"/>
      <c r="B181" s="30" t="n"/>
      <c r="C181" s="26" t="n"/>
      <c r="D181" s="11" t="n"/>
      <c r="E181" s="26" t="n"/>
      <c r="F181" s="26" t="n"/>
    </row>
    <row r="182">
      <c r="A182" s="29" t="n"/>
      <c r="B182" s="29" t="n"/>
      <c r="C182" s="25" t="n"/>
      <c r="D182" s="10" t="n"/>
      <c r="E182" s="25" t="n"/>
      <c r="F182" s="25" t="n"/>
    </row>
    <row r="183">
      <c r="A183" s="30" t="n"/>
      <c r="B183" s="30" t="n"/>
      <c r="C183" s="26" t="n"/>
      <c r="D183" s="11" t="n"/>
      <c r="E183" s="26" t="n"/>
      <c r="F183" s="26" t="n"/>
    </row>
    <row r="184">
      <c r="A184" s="29" t="n"/>
      <c r="B184" s="29" t="n"/>
      <c r="C184" s="25" t="n"/>
      <c r="D184" s="10" t="n"/>
      <c r="E184" s="25" t="n"/>
      <c r="F184" s="25" t="n"/>
    </row>
    <row r="185">
      <c r="A185" s="30" t="n"/>
      <c r="B185" s="30" t="n"/>
      <c r="C185" s="26" t="n"/>
      <c r="D185" s="11" t="n"/>
      <c r="E185" s="26" t="n"/>
      <c r="F185" s="26" t="n"/>
    </row>
    <row r="186">
      <c r="A186" s="29" t="n"/>
      <c r="B186" s="29" t="n"/>
      <c r="C186" s="25" t="n"/>
      <c r="D186" s="10" t="n"/>
      <c r="E186" s="25" t="n"/>
      <c r="F186" s="25" t="n"/>
    </row>
    <row r="187">
      <c r="A187" s="30" t="n"/>
      <c r="B187" s="30" t="n"/>
      <c r="C187" s="26" t="n"/>
      <c r="D187" s="11" t="n"/>
      <c r="E187" s="26" t="n"/>
      <c r="F187" s="26" t="n"/>
    </row>
    <row r="188">
      <c r="A188" s="29" t="n"/>
      <c r="B188" s="29" t="n"/>
      <c r="C188" s="25" t="n"/>
      <c r="D188" s="10" t="n"/>
      <c r="E188" s="25" t="n"/>
      <c r="F188" s="25" t="n"/>
    </row>
    <row r="189">
      <c r="A189" s="30" t="n"/>
      <c r="B189" s="30" t="n"/>
      <c r="C189" s="26" t="n"/>
      <c r="D189" s="11" t="n"/>
      <c r="E189" s="26" t="n"/>
      <c r="F189" s="26" t="n"/>
    </row>
    <row r="190">
      <c r="A190" s="29" t="n"/>
      <c r="B190" s="29" t="n"/>
      <c r="C190" s="25" t="n"/>
      <c r="D190" s="10" t="n"/>
      <c r="E190" s="25" t="n"/>
      <c r="F190" s="25" t="n"/>
    </row>
    <row r="191">
      <c r="A191" s="30" t="n"/>
      <c r="B191" s="30" t="n"/>
      <c r="C191" s="26" t="n"/>
      <c r="D191" s="11" t="n"/>
      <c r="E191" s="26" t="n"/>
      <c r="F191" s="26" t="n"/>
    </row>
    <row r="192">
      <c r="A192" s="29" t="n"/>
      <c r="B192" s="29" t="n"/>
      <c r="C192" s="25" t="n"/>
      <c r="D192" s="10" t="n"/>
      <c r="E192" s="25" t="n"/>
      <c r="F192" s="25" t="n"/>
    </row>
    <row r="193">
      <c r="A193" s="30" t="n"/>
      <c r="B193" s="30" t="n"/>
      <c r="C193" s="26" t="n"/>
      <c r="D193" s="11" t="n"/>
      <c r="E193" s="26" t="n"/>
      <c r="F193" s="26" t="n"/>
    </row>
    <row r="194">
      <c r="A194" s="29" t="n"/>
      <c r="B194" s="29" t="n"/>
      <c r="C194" s="25" t="n"/>
      <c r="D194" s="10" t="n"/>
      <c r="E194" s="25" t="n"/>
      <c r="F194" s="25" t="n"/>
    </row>
    <row r="195">
      <c r="A195" s="30" t="n"/>
      <c r="B195" s="30" t="n"/>
      <c r="C195" s="26" t="n"/>
      <c r="D195" s="11" t="n"/>
      <c r="E195" s="26" t="n"/>
      <c r="F195" s="26" t="n"/>
    </row>
    <row r="196">
      <c r="A196" s="29" t="n"/>
      <c r="B196" s="29" t="n"/>
      <c r="C196" s="25" t="n"/>
      <c r="D196" s="10" t="n"/>
      <c r="E196" s="25" t="n"/>
      <c r="F196" s="25" t="n"/>
    </row>
    <row r="197">
      <c r="A197" s="30" t="n"/>
      <c r="B197" s="30" t="n"/>
      <c r="C197" s="26" t="n"/>
      <c r="D197" s="11" t="n"/>
      <c r="E197" s="26" t="n"/>
      <c r="F197" s="26" t="n"/>
    </row>
    <row r="198">
      <c r="A198" s="29" t="n"/>
      <c r="B198" s="29" t="n"/>
      <c r="C198" s="25" t="n"/>
      <c r="D198" s="10" t="n"/>
      <c r="E198" s="25" t="n"/>
      <c r="F198" s="25" t="n"/>
    </row>
    <row r="199">
      <c r="A199" s="30" t="n"/>
      <c r="B199" s="30" t="n"/>
      <c r="C199" s="26" t="n"/>
      <c r="D199" s="11" t="n"/>
      <c r="E199" s="26" t="n"/>
      <c r="F199" s="26" t="n"/>
    </row>
    <row r="200">
      <c r="A200" s="29" t="n"/>
      <c r="B200" s="29" t="n"/>
      <c r="C200" s="25" t="n"/>
      <c r="D200" s="10" t="n"/>
      <c r="E200" s="25" t="n"/>
      <c r="F200" s="25" t="n"/>
    </row>
    <row r="201">
      <c r="A201" s="30" t="n"/>
      <c r="B201" s="30" t="n"/>
      <c r="C201" s="26" t="n"/>
      <c r="D201" s="11" t="n"/>
      <c r="E201" s="26" t="n"/>
      <c r="F201" s="26" t="n"/>
    </row>
    <row r="202">
      <c r="A202" s="29" t="n"/>
      <c r="B202" s="29" t="n"/>
      <c r="C202" s="25" t="n"/>
      <c r="D202" s="10" t="n"/>
      <c r="E202" s="25" t="n"/>
      <c r="F202" s="25" t="n"/>
    </row>
    <row r="203">
      <c r="A203" s="30" t="n"/>
      <c r="B203" s="30" t="n"/>
      <c r="C203" s="26" t="n"/>
      <c r="D203" s="11" t="n"/>
      <c r="E203" s="26" t="n"/>
      <c r="F203" s="26" t="n"/>
    </row>
    <row r="204">
      <c r="A204" s="29" t="n"/>
      <c r="B204" s="29" t="n"/>
      <c r="C204" s="25" t="n"/>
      <c r="D204" s="10" t="n"/>
      <c r="E204" s="25" t="n"/>
      <c r="F204" s="25" t="n"/>
    </row>
    <row r="205">
      <c r="A205" s="30" t="n"/>
      <c r="B205" s="30" t="n"/>
      <c r="C205" s="26" t="n"/>
      <c r="D205" s="11" t="n"/>
      <c r="E205" s="26" t="n"/>
      <c r="F205" s="26" t="n"/>
    </row>
    <row r="206">
      <c r="A206" s="29" t="n"/>
      <c r="B206" s="29" t="n"/>
      <c r="C206" s="25" t="n"/>
      <c r="D206" s="10" t="n"/>
      <c r="E206" s="25" t="n"/>
      <c r="F206" s="25" t="n"/>
    </row>
    <row r="207">
      <c r="A207" s="30" t="n"/>
      <c r="B207" s="30" t="n"/>
      <c r="C207" s="26" t="n"/>
      <c r="D207" s="11" t="n"/>
      <c r="E207" s="26" t="n"/>
      <c r="F207" s="26" t="n"/>
    </row>
    <row r="208">
      <c r="A208" s="29" t="n"/>
      <c r="B208" s="29" t="n"/>
      <c r="C208" s="25" t="n"/>
      <c r="D208" s="10" t="n"/>
      <c r="E208" s="25" t="n"/>
      <c r="F208" s="25" t="n"/>
    </row>
    <row r="209">
      <c r="A209" s="30" t="n"/>
      <c r="B209" s="30" t="n"/>
      <c r="C209" s="26" t="n"/>
      <c r="D209" s="11" t="n"/>
      <c r="E209" s="26" t="n"/>
      <c r="F209" s="26" t="n"/>
    </row>
    <row r="210">
      <c r="A210" s="29" t="n"/>
      <c r="B210" s="29" t="n"/>
      <c r="C210" s="25" t="n"/>
      <c r="D210" s="10" t="n"/>
      <c r="E210" s="25" t="n"/>
      <c r="F210" s="25" t="n"/>
    </row>
    <row r="211">
      <c r="A211" s="30" t="n"/>
      <c r="B211" s="30" t="n"/>
      <c r="C211" s="26" t="n"/>
      <c r="D211" s="11" t="n"/>
      <c r="E211" s="26" t="n"/>
      <c r="F211" s="26" t="n"/>
    </row>
    <row r="212">
      <c r="A212" s="29" t="n"/>
      <c r="B212" s="29" t="n"/>
      <c r="C212" s="25" t="n"/>
      <c r="D212" s="10" t="n"/>
      <c r="E212" s="25" t="n"/>
      <c r="F212" s="25" t="n"/>
    </row>
    <row r="213">
      <c r="A213" s="30" t="n"/>
      <c r="B213" s="30" t="n"/>
      <c r="C213" s="26" t="n"/>
      <c r="D213" s="11" t="n"/>
      <c r="E213" s="26" t="n"/>
      <c r="F213" s="26" t="n"/>
    </row>
    <row r="214">
      <c r="A214" s="29" t="n"/>
      <c r="B214" s="29" t="n"/>
      <c r="C214" s="29" t="n"/>
      <c r="D214" s="10" t="n"/>
      <c r="E214" s="25" t="n"/>
      <c r="F214" s="25" t="n"/>
    </row>
    <row r="215">
      <c r="A215" s="30" t="n"/>
      <c r="B215" s="30" t="n"/>
      <c r="C215" s="30" t="n"/>
      <c r="D215" s="11" t="n"/>
      <c r="E215" s="26" t="n"/>
      <c r="F215" s="26" t="n"/>
    </row>
    <row r="216">
      <c r="A216" s="29" t="n"/>
      <c r="B216" s="29" t="n"/>
      <c r="C216" s="29" t="n"/>
      <c r="D216" s="10" t="n"/>
      <c r="E216" s="25" t="n"/>
      <c r="F216" s="25" t="n"/>
    </row>
    <row r="217">
      <c r="A217" s="30" t="n"/>
      <c r="B217" s="30" t="n"/>
      <c r="C217" s="30" t="n"/>
      <c r="D217" s="11" t="n"/>
      <c r="E217" s="26" t="n"/>
      <c r="F217" s="26" t="n"/>
    </row>
    <row r="218">
      <c r="A218" s="29" t="n"/>
      <c r="B218" s="29" t="n"/>
      <c r="C218" s="29" t="n"/>
      <c r="D218" s="10" t="n"/>
      <c r="E218" s="25" t="n"/>
      <c r="F218" s="25" t="n"/>
    </row>
    <row r="219">
      <c r="A219" s="30" t="n"/>
      <c r="B219" s="30" t="n"/>
      <c r="C219" s="30" t="n"/>
      <c r="D219" s="11" t="n"/>
      <c r="E219" s="26" t="n"/>
      <c r="F219" s="26" t="n"/>
    </row>
    <row r="220">
      <c r="A220" s="29" t="n"/>
      <c r="B220" s="29" t="n"/>
      <c r="C220" s="29" t="n"/>
      <c r="D220" s="10" t="n"/>
      <c r="E220" s="25" t="n"/>
      <c r="F220" s="25" t="n"/>
    </row>
    <row r="221">
      <c r="A221" s="30" t="n"/>
      <c r="B221" s="30" t="n"/>
      <c r="C221" s="30" t="n"/>
      <c r="D221" s="11" t="n"/>
      <c r="E221" s="26" t="n"/>
      <c r="F221" s="26" t="n"/>
    </row>
    <row r="222">
      <c r="A222" s="29" t="n"/>
      <c r="B222" s="29" t="n"/>
      <c r="C222" s="29" t="n"/>
      <c r="D222" s="10" t="n"/>
      <c r="E222" s="25" t="n"/>
      <c r="F222" s="25" t="n"/>
    </row>
    <row r="223">
      <c r="A223" s="30" t="n"/>
      <c r="B223" s="30" t="n"/>
      <c r="C223" s="30" t="n"/>
      <c r="D223" s="11" t="n"/>
      <c r="E223" s="26" t="n"/>
      <c r="F223" s="26" t="n"/>
    </row>
    <row r="224">
      <c r="A224" s="29" t="n"/>
      <c r="B224" s="29" t="n"/>
      <c r="C224" s="29" t="n"/>
      <c r="D224" s="10" t="n"/>
      <c r="E224" s="25" t="n"/>
      <c r="F224" s="25" t="n"/>
    </row>
    <row r="225">
      <c r="A225" s="30" t="n"/>
      <c r="B225" s="30" t="n"/>
      <c r="C225" s="30" t="n"/>
      <c r="D225" s="11" t="n"/>
      <c r="E225" s="26" t="n"/>
      <c r="F225" s="26" t="n"/>
    </row>
    <row r="226">
      <c r="A226" s="29" t="n"/>
      <c r="B226" s="29" t="n"/>
      <c r="C226" s="29" t="n"/>
      <c r="D226" s="10" t="n"/>
      <c r="E226" s="25" t="n"/>
      <c r="F226" s="25" t="n"/>
    </row>
    <row r="227">
      <c r="A227" s="30" t="n"/>
      <c r="B227" s="30" t="n"/>
      <c r="C227" s="30" t="n"/>
      <c r="D227" s="11" t="n"/>
      <c r="E227" s="26" t="n"/>
      <c r="F227" s="26" t="n"/>
    </row>
    <row r="228">
      <c r="A228" s="29" t="n"/>
      <c r="B228" s="29" t="n"/>
      <c r="C228" s="29" t="n"/>
      <c r="D228" s="10" t="n"/>
      <c r="E228" s="25" t="n"/>
      <c r="F228" s="25" t="n"/>
    </row>
    <row r="229">
      <c r="A229" s="30" t="n"/>
      <c r="B229" s="30" t="n"/>
      <c r="C229" s="30" t="n"/>
      <c r="D229" s="11" t="n"/>
      <c r="E229" s="26" t="n"/>
      <c r="F229" s="26" t="n"/>
    </row>
    <row r="230">
      <c r="A230" s="29" t="n"/>
      <c r="B230" s="29" t="n"/>
      <c r="C230" s="29" t="n"/>
      <c r="D230" s="10" t="n"/>
      <c r="E230" s="25" t="n"/>
      <c r="F230" s="25" t="n"/>
    </row>
    <row r="231">
      <c r="A231" s="30" t="n"/>
      <c r="B231" s="30" t="n"/>
      <c r="C231" s="30" t="n"/>
      <c r="D231" s="11" t="n"/>
      <c r="E231" s="26" t="n"/>
      <c r="F231" s="26" t="n"/>
    </row>
    <row r="232">
      <c r="A232" s="29" t="n"/>
      <c r="B232" s="29" t="n"/>
      <c r="C232" s="29" t="n"/>
      <c r="D232" s="10" t="n"/>
      <c r="E232" s="25" t="n"/>
      <c r="F232" s="25" t="n"/>
    </row>
    <row r="233">
      <c r="A233" s="30" t="n"/>
      <c r="B233" s="30" t="n"/>
      <c r="C233" s="30" t="n"/>
      <c r="D233" s="11" t="n"/>
      <c r="E233" s="26" t="n"/>
      <c r="F233" s="26" t="n"/>
    </row>
    <row r="234">
      <c r="A234" s="29" t="n"/>
      <c r="B234" s="29" t="n"/>
      <c r="C234" s="29" t="n"/>
      <c r="D234" s="10" t="n"/>
      <c r="E234" s="25" t="n"/>
      <c r="F234" s="25" t="n"/>
    </row>
    <row r="235">
      <c r="A235" s="30" t="n"/>
      <c r="B235" s="30" t="n"/>
      <c r="C235" s="30" t="n"/>
      <c r="D235" s="11" t="n"/>
      <c r="E235" s="26" t="n"/>
      <c r="F235" s="26" t="n"/>
    </row>
    <row r="236">
      <c r="A236" s="29" t="n"/>
      <c r="B236" s="29" t="n"/>
      <c r="C236" s="29" t="n"/>
      <c r="D236" s="10" t="n"/>
      <c r="E236" s="25" t="n"/>
      <c r="F236" s="25" t="n"/>
    </row>
    <row r="237">
      <c r="A237" s="30" t="n"/>
      <c r="B237" s="30" t="n"/>
      <c r="C237" s="30" t="n"/>
      <c r="D237" s="11" t="n"/>
      <c r="E237" s="26" t="n"/>
      <c r="F237" s="26" t="n"/>
    </row>
    <row r="238">
      <c r="A238" s="29" t="n"/>
      <c r="B238" s="29" t="n"/>
      <c r="C238" s="29" t="n"/>
      <c r="D238" s="10" t="n"/>
      <c r="E238" s="25" t="n"/>
      <c r="F238" s="25" t="n"/>
    </row>
    <row r="239">
      <c r="A239" s="30" t="n"/>
      <c r="B239" s="30" t="n"/>
      <c r="C239" s="30" t="n"/>
      <c r="D239" s="11" t="n"/>
      <c r="E239" s="26" t="n"/>
      <c r="F239" s="26" t="n"/>
    </row>
    <row r="240">
      <c r="A240" s="29" t="n"/>
      <c r="B240" s="29" t="n"/>
      <c r="C240" s="29" t="n"/>
      <c r="D240" s="10" t="n"/>
      <c r="E240" s="25" t="n"/>
      <c r="F240" s="25" t="n"/>
    </row>
    <row r="241">
      <c r="A241" s="30" t="n"/>
      <c r="B241" s="30" t="n"/>
      <c r="C241" s="30" t="n"/>
      <c r="D241" s="11" t="n"/>
      <c r="E241" s="26" t="n"/>
      <c r="F241" s="26" t="n"/>
    </row>
    <row r="242">
      <c r="A242" s="29" t="n"/>
      <c r="B242" s="29" t="n"/>
      <c r="C242" s="29" t="n"/>
      <c r="D242" s="10" t="n"/>
      <c r="E242" s="25" t="n"/>
      <c r="F242" s="25" t="n"/>
    </row>
    <row r="243">
      <c r="A243" s="30" t="n"/>
      <c r="B243" s="30" t="n"/>
      <c r="C243" s="30" t="n"/>
      <c r="D243" s="11" t="n"/>
      <c r="E243" s="26" t="n"/>
      <c r="F243" s="26" t="n"/>
    </row>
    <row r="244">
      <c r="A244" s="29" t="n"/>
      <c r="B244" s="29" t="n"/>
      <c r="C244" s="29" t="n"/>
      <c r="D244" s="10" t="n"/>
      <c r="E244" s="25" t="n"/>
      <c r="F244" s="25" t="n"/>
    </row>
    <row r="245">
      <c r="A245" s="30" t="n"/>
      <c r="B245" s="30" t="n"/>
      <c r="C245" s="30" t="n"/>
      <c r="D245" s="11" t="n"/>
      <c r="E245" s="26" t="n"/>
      <c r="F245" s="26" t="n"/>
    </row>
    <row r="246">
      <c r="A246" s="29" t="n"/>
      <c r="B246" s="29" t="n"/>
      <c r="C246" s="29" t="n"/>
      <c r="D246" s="10" t="n"/>
      <c r="E246" s="25" t="n"/>
      <c r="F246" s="25" t="n"/>
    </row>
    <row r="247">
      <c r="A247" s="30" t="n"/>
      <c r="B247" s="30" t="n"/>
      <c r="C247" s="30" t="n"/>
      <c r="D247" s="11" t="n"/>
      <c r="E247" s="26" t="n"/>
      <c r="F247" s="26" t="n"/>
    </row>
    <row r="248">
      <c r="A248" s="29" t="n"/>
      <c r="B248" s="29" t="n"/>
      <c r="C248" s="29" t="n"/>
      <c r="D248" s="10" t="n"/>
      <c r="E248" s="25" t="n"/>
      <c r="F248" s="25" t="n"/>
    </row>
    <row r="249">
      <c r="A249" s="30" t="n"/>
      <c r="B249" s="30" t="n"/>
      <c r="C249" s="30" t="n"/>
      <c r="D249" s="11" t="n"/>
      <c r="E249" s="26" t="n"/>
      <c r="F249" s="26" t="n"/>
    </row>
    <row r="250">
      <c r="A250" s="29" t="n"/>
      <c r="B250" s="29" t="n"/>
      <c r="C250" s="29" t="n"/>
      <c r="D250" s="10" t="n"/>
      <c r="E250" s="25" t="n"/>
      <c r="F250" s="25" t="n"/>
    </row>
    <row r="251">
      <c r="A251" s="30" t="n"/>
      <c r="B251" s="30" t="n"/>
      <c r="C251" s="30" t="n"/>
      <c r="D251" s="11" t="n"/>
      <c r="E251" s="26" t="n"/>
      <c r="F251" s="26" t="n"/>
    </row>
    <row r="252">
      <c r="A252" s="29" t="n"/>
      <c r="B252" s="29" t="n"/>
      <c r="C252" s="29" t="n"/>
      <c r="D252" s="10" t="n"/>
      <c r="E252" s="25" t="n"/>
      <c r="F252" s="25" t="n"/>
    </row>
    <row r="253">
      <c r="A253" s="30" t="n"/>
      <c r="B253" s="30" t="n"/>
      <c r="C253" s="30" t="n"/>
      <c r="D253" s="11" t="n"/>
      <c r="E253" s="26" t="n"/>
      <c r="F253" s="26" t="n"/>
    </row>
    <row r="254">
      <c r="A254" s="29" t="n"/>
      <c r="B254" s="29" t="n"/>
      <c r="C254" s="29" t="n"/>
      <c r="D254" s="10" t="n"/>
      <c r="E254" s="25" t="n"/>
      <c r="F254" s="25" t="n"/>
    </row>
    <row r="255">
      <c r="A255" s="30" t="n"/>
      <c r="B255" s="30" t="n"/>
      <c r="C255" s="30" t="n"/>
      <c r="D255" s="11" t="n"/>
      <c r="E255" s="26" t="n"/>
      <c r="F255" s="26" t="n"/>
    </row>
    <row r="256">
      <c r="A256" s="29" t="n"/>
      <c r="B256" s="29" t="n"/>
      <c r="C256" s="29" t="n"/>
      <c r="D256" s="10" t="n"/>
      <c r="E256" s="25" t="n"/>
      <c r="F256" s="25" t="n"/>
    </row>
    <row r="257">
      <c r="A257" s="30" t="n"/>
      <c r="B257" s="30" t="n"/>
      <c r="C257" s="30" t="n"/>
      <c r="D257" s="11" t="n"/>
      <c r="E257" s="26" t="n"/>
      <c r="F257" s="26" t="n"/>
    </row>
    <row r="258">
      <c r="A258" s="29" t="n"/>
      <c r="B258" s="29" t="n"/>
      <c r="C258" s="29" t="n"/>
      <c r="D258" s="10" t="n"/>
      <c r="E258" s="25" t="n"/>
      <c r="F258" s="25" t="n"/>
    </row>
    <row r="259">
      <c r="A259" s="30" t="n"/>
      <c r="B259" s="30" t="n"/>
      <c r="C259" s="30" t="n"/>
      <c r="D259" s="11" t="n"/>
      <c r="E259" s="26" t="n"/>
      <c r="F259" s="26" t="n"/>
    </row>
    <row r="260">
      <c r="A260" s="29" t="n"/>
      <c r="B260" s="29" t="n"/>
      <c r="C260" s="29" t="n"/>
      <c r="D260" s="10" t="n"/>
      <c r="E260" s="25" t="n"/>
      <c r="F260" s="25" t="n"/>
    </row>
    <row r="261">
      <c r="A261" s="30" t="n"/>
      <c r="B261" s="30" t="n"/>
      <c r="C261" s="30" t="n"/>
      <c r="D261" s="11" t="n"/>
      <c r="E261" s="26" t="n"/>
      <c r="F261" s="26" t="n"/>
    </row>
    <row r="262">
      <c r="A262" s="29" t="n"/>
      <c r="B262" s="29" t="n"/>
      <c r="C262" s="29" t="n"/>
      <c r="D262" s="10" t="n"/>
      <c r="E262" s="25" t="n"/>
      <c r="F262" s="25" t="n"/>
    </row>
    <row r="263">
      <c r="A263" s="30" t="n"/>
      <c r="B263" s="30" t="n"/>
      <c r="C263" s="30" t="n"/>
      <c r="D263" s="11" t="n"/>
      <c r="E263" s="26" t="n"/>
      <c r="F263" s="26" t="n"/>
    </row>
    <row r="264">
      <c r="A264" s="29" t="n"/>
      <c r="B264" s="29" t="n"/>
      <c r="C264" s="29" t="n"/>
      <c r="D264" s="10" t="n"/>
      <c r="E264" s="25" t="n"/>
      <c r="F264" s="25" t="n"/>
    </row>
    <row r="265">
      <c r="A265" s="30" t="n"/>
      <c r="B265" s="30" t="n"/>
      <c r="C265" s="30" t="n"/>
      <c r="D265" s="11" t="n"/>
      <c r="E265" s="26" t="n"/>
      <c r="F265" s="26" t="n"/>
    </row>
    <row r="266">
      <c r="A266" s="29" t="n"/>
      <c r="B266" s="29" t="n"/>
      <c r="C266" s="29" t="n"/>
      <c r="D266" s="10" t="n"/>
      <c r="E266" s="25" t="n"/>
      <c r="F266" s="25" t="n"/>
    </row>
    <row r="267">
      <c r="A267" s="30" t="n"/>
      <c r="B267" s="30" t="n"/>
      <c r="C267" s="30" t="n"/>
      <c r="D267" s="11" t="n"/>
      <c r="E267" s="26" t="n"/>
      <c r="F267" s="26" t="n"/>
    </row>
    <row r="268">
      <c r="A268" s="29" t="n"/>
      <c r="B268" s="29" t="n"/>
      <c r="C268" s="29" t="n"/>
      <c r="D268" s="10" t="n"/>
      <c r="E268" s="25" t="n"/>
      <c r="F268" s="25" t="n"/>
    </row>
    <row r="269">
      <c r="A269" s="30" t="n"/>
      <c r="B269" s="30" t="n"/>
      <c r="C269" s="30" t="n"/>
      <c r="D269" s="11" t="n"/>
      <c r="E269" s="26" t="n"/>
      <c r="F269" s="26" t="n"/>
    </row>
    <row r="270">
      <c r="A270" s="29" t="n"/>
      <c r="B270" s="29" t="n"/>
      <c r="C270" s="29" t="n"/>
      <c r="D270" s="10" t="n"/>
      <c r="E270" s="25" t="n"/>
      <c r="F270" s="25" t="n"/>
    </row>
    <row r="271">
      <c r="A271" s="30" t="n"/>
      <c r="B271" s="30" t="n"/>
      <c r="C271" s="30" t="n"/>
      <c r="D271" s="11" t="n"/>
      <c r="E271" s="26" t="n"/>
      <c r="F271" s="26" t="n"/>
    </row>
    <row r="272">
      <c r="A272" s="29" t="n"/>
      <c r="B272" s="29" t="n"/>
      <c r="C272" s="29" t="n"/>
      <c r="D272" s="10" t="n"/>
      <c r="E272" s="25" t="n"/>
      <c r="F272" s="25" t="n"/>
    </row>
    <row r="273">
      <c r="A273" s="30" t="n"/>
      <c r="B273" s="30" t="n"/>
      <c r="C273" s="30" t="n"/>
      <c r="D273" s="11" t="n"/>
      <c r="E273" s="26" t="n"/>
      <c r="F273" s="26" t="n"/>
    </row>
    <row r="274">
      <c r="A274" s="29" t="n"/>
      <c r="B274" s="29" t="n"/>
      <c r="C274" s="29" t="n"/>
      <c r="D274" s="10" t="n"/>
      <c r="E274" s="25" t="n"/>
      <c r="F274" s="25" t="n"/>
    </row>
    <row r="275">
      <c r="A275" s="30" t="n"/>
      <c r="B275" s="30" t="n"/>
      <c r="C275" s="30" t="n"/>
      <c r="D275" s="11" t="n"/>
      <c r="E275" s="26" t="n"/>
      <c r="F275" s="26" t="n"/>
    </row>
    <row r="276">
      <c r="A276" s="29" t="n"/>
      <c r="B276" s="29" t="n"/>
      <c r="C276" s="29" t="n"/>
      <c r="D276" s="10" t="n"/>
      <c r="E276" s="25" t="n"/>
      <c r="F276" s="25" t="n"/>
    </row>
    <row r="277">
      <c r="A277" s="30" t="n"/>
      <c r="B277" s="30" t="n"/>
      <c r="C277" s="30" t="n"/>
      <c r="D277" s="11" t="n"/>
      <c r="E277" s="26" t="n"/>
      <c r="F277" s="26" t="n"/>
    </row>
    <row r="278">
      <c r="A278" s="29" t="n"/>
      <c r="B278" s="29" t="n"/>
      <c r="C278" s="29" t="n"/>
      <c r="D278" s="10" t="n"/>
      <c r="E278" s="25" t="n"/>
      <c r="F278" s="25" t="n"/>
    </row>
    <row r="279">
      <c r="A279" s="30" t="n"/>
      <c r="B279" s="30" t="n"/>
      <c r="C279" s="30" t="n"/>
      <c r="D279" s="11" t="n"/>
      <c r="E279" s="26" t="n"/>
      <c r="F279" s="26" t="n"/>
    </row>
    <row r="280">
      <c r="A280" s="29" t="n"/>
      <c r="B280" s="29" t="n"/>
      <c r="C280" s="29" t="n"/>
      <c r="D280" s="10" t="n"/>
      <c r="E280" s="25" t="n"/>
      <c r="F280" s="25" t="n"/>
    </row>
    <row r="281">
      <c r="A281" s="30" t="n"/>
      <c r="B281" s="30" t="n"/>
      <c r="C281" s="30" t="n"/>
      <c r="D281" s="11" t="n"/>
      <c r="E281" s="26" t="n"/>
      <c r="F281" s="26" t="n"/>
    </row>
    <row r="282">
      <c r="A282" s="29" t="n"/>
      <c r="B282" s="29" t="n"/>
      <c r="C282" s="29" t="n"/>
      <c r="D282" s="10" t="n"/>
      <c r="E282" s="25" t="n"/>
      <c r="F282" s="25" t="n"/>
    </row>
    <row r="283">
      <c r="A283" s="30" t="n"/>
      <c r="B283" s="30" t="n"/>
      <c r="C283" s="30" t="n"/>
      <c r="D283" s="11" t="n"/>
      <c r="E283" s="26" t="n"/>
      <c r="F283" s="26" t="n"/>
    </row>
    <row r="284">
      <c r="A284" s="29" t="n"/>
      <c r="B284" s="29" t="n"/>
      <c r="C284" s="29" t="n"/>
      <c r="D284" s="10" t="n"/>
      <c r="E284" s="25" t="n"/>
      <c r="F284" s="25" t="n"/>
    </row>
    <row r="285">
      <c r="A285" s="30" t="n"/>
      <c r="B285" s="30" t="n"/>
      <c r="C285" s="30" t="n"/>
      <c r="D285" s="11" t="n"/>
      <c r="E285" s="26" t="n"/>
      <c r="F285" s="26" t="n"/>
    </row>
    <row r="286">
      <c r="A286" s="29" t="n"/>
      <c r="B286" s="29" t="n"/>
      <c r="C286" s="29" t="n"/>
      <c r="D286" s="10" t="n"/>
      <c r="E286" s="25" t="n"/>
      <c r="F286" s="25" t="n"/>
    </row>
    <row r="287">
      <c r="A287" s="30" t="n"/>
      <c r="B287" s="30" t="n"/>
      <c r="C287" s="30" t="n"/>
      <c r="D287" s="11" t="n"/>
      <c r="E287" s="26" t="n"/>
      <c r="F287" s="26" t="n"/>
    </row>
    <row r="288">
      <c r="A288" s="29" t="n"/>
      <c r="B288" s="29" t="n"/>
      <c r="C288" s="29" t="n"/>
      <c r="D288" s="10" t="n"/>
      <c r="E288" s="25" t="n"/>
      <c r="F288" s="25" t="n"/>
    </row>
    <row r="289">
      <c r="A289" s="30" t="n"/>
      <c r="B289" s="30" t="n"/>
      <c r="C289" s="30" t="n"/>
      <c r="D289" s="11" t="n"/>
      <c r="E289" s="26" t="n"/>
      <c r="F289" s="26" t="n"/>
    </row>
    <row r="290">
      <c r="A290" s="29" t="n"/>
      <c r="B290" s="29" t="n"/>
      <c r="C290" s="29" t="n"/>
      <c r="D290" s="10" t="n"/>
      <c r="E290" s="25" t="n"/>
      <c r="F290" s="25" t="n"/>
    </row>
    <row r="291">
      <c r="A291" s="30" t="n"/>
      <c r="B291" s="30" t="n"/>
      <c r="C291" s="30" t="n"/>
      <c r="D291" s="11" t="n"/>
      <c r="E291" s="26" t="n"/>
      <c r="F291" s="26" t="n"/>
    </row>
    <row r="292">
      <c r="A292" s="29" t="n"/>
      <c r="B292" s="29" t="n"/>
      <c r="C292" s="29" t="n"/>
      <c r="D292" s="10" t="n"/>
      <c r="E292" s="25" t="n"/>
      <c r="F292" s="25" t="n"/>
    </row>
    <row r="293">
      <c r="A293" s="30" t="n"/>
      <c r="B293" s="30" t="n"/>
      <c r="C293" s="30" t="n"/>
      <c r="D293" s="11" t="n"/>
      <c r="E293" s="26" t="n"/>
      <c r="F293" s="26" t="n"/>
    </row>
    <row r="294">
      <c r="A294" s="29" t="n"/>
      <c r="B294" s="29" t="n"/>
      <c r="C294" s="29" t="n"/>
      <c r="D294" s="10" t="n"/>
      <c r="E294" s="25" t="n"/>
      <c r="F294" s="25" t="n"/>
    </row>
    <row r="295">
      <c r="A295" s="30" t="n"/>
      <c r="B295" s="30" t="n"/>
      <c r="C295" s="30" t="n"/>
      <c r="D295" s="11" t="n"/>
      <c r="E295" s="26" t="n"/>
      <c r="F295" s="26" t="n"/>
    </row>
    <row r="296">
      <c r="A296" s="29" t="n"/>
      <c r="B296" s="29" t="n"/>
      <c r="C296" s="29" t="n"/>
      <c r="D296" s="10" t="n"/>
      <c r="E296" s="25" t="n"/>
      <c r="F296" s="25" t="n"/>
    </row>
    <row r="297">
      <c r="A297" s="30" t="n"/>
      <c r="B297" s="30" t="n"/>
      <c r="C297" s="30" t="n"/>
      <c r="D297" s="11" t="n"/>
      <c r="E297" s="26" t="n"/>
      <c r="F297" s="26" t="n"/>
    </row>
    <row r="298">
      <c r="A298" s="29" t="n"/>
      <c r="B298" s="29" t="n"/>
      <c r="C298" s="29" t="n"/>
      <c r="D298" s="10" t="n"/>
      <c r="E298" s="25" t="n"/>
      <c r="F298" s="25" t="n"/>
    </row>
    <row r="299">
      <c r="A299" s="30" t="n"/>
      <c r="B299" s="30" t="n"/>
      <c r="C299" s="30" t="n"/>
      <c r="D299" s="11" t="n"/>
      <c r="E299" s="26" t="n"/>
      <c r="F299" s="26" t="n"/>
    </row>
    <row r="300">
      <c r="A300" s="29" t="n"/>
      <c r="B300" s="29" t="n"/>
      <c r="C300" s="29" t="n"/>
      <c r="D300" s="10" t="n"/>
      <c r="E300" s="25" t="n"/>
      <c r="F300" s="25" t="n"/>
    </row>
    <row r="301">
      <c r="A301" s="30" t="n"/>
      <c r="B301" s="30" t="n"/>
      <c r="C301" s="30" t="n"/>
      <c r="D301" s="11" t="n"/>
      <c r="E301" s="26" t="n"/>
      <c r="F301" s="26" t="n"/>
    </row>
    <row r="302">
      <c r="A302" s="29" t="n"/>
      <c r="B302" s="29" t="n"/>
      <c r="C302" s="29" t="n"/>
      <c r="D302" s="10" t="n"/>
      <c r="E302" s="25" t="n"/>
      <c r="F302" s="25" t="n"/>
    </row>
    <row r="303">
      <c r="A303" s="30" t="n"/>
      <c r="B303" s="30" t="n"/>
      <c r="C303" s="30" t="n"/>
      <c r="D303" s="11" t="n"/>
      <c r="E303" s="26" t="n"/>
      <c r="F303" s="26" t="n"/>
    </row>
    <row r="304">
      <c r="A304" s="29" t="n"/>
      <c r="B304" s="29" t="n"/>
      <c r="C304" s="29" t="n"/>
      <c r="D304" s="10" t="n"/>
      <c r="E304" s="25" t="n"/>
      <c r="F304" s="25" t="n"/>
    </row>
    <row r="305">
      <c r="A305" s="30" t="n"/>
      <c r="B305" s="30" t="n"/>
      <c r="C305" s="30" t="n"/>
      <c r="D305" s="11" t="n"/>
      <c r="E305" s="26" t="n"/>
      <c r="F305" s="26" t="n"/>
    </row>
    <row r="306">
      <c r="A306" s="29" t="n"/>
      <c r="B306" s="29" t="n"/>
      <c r="C306" s="29" t="n"/>
      <c r="D306" s="10" t="n"/>
      <c r="E306" s="25" t="n"/>
      <c r="F306" s="25" t="n"/>
    </row>
    <row r="307">
      <c r="A307" s="30" t="n"/>
      <c r="B307" s="30" t="n"/>
      <c r="C307" s="30" t="n"/>
      <c r="D307" s="11" t="n"/>
      <c r="E307" s="26" t="n"/>
      <c r="F307" s="26" t="n"/>
    </row>
    <row r="308">
      <c r="A308" s="29" t="n"/>
      <c r="B308" s="29" t="n"/>
      <c r="C308" s="29" t="n"/>
      <c r="D308" s="10" t="n"/>
      <c r="E308" s="25" t="n"/>
      <c r="F308" s="25" t="n"/>
    </row>
    <row r="309">
      <c r="A309" s="30" t="n"/>
      <c r="B309" s="30" t="n"/>
      <c r="C309" s="30" t="n"/>
      <c r="D309" s="11" t="n"/>
      <c r="E309" s="26" t="n"/>
      <c r="F309" s="26" t="n"/>
    </row>
    <row r="310">
      <c r="A310" s="29" t="n"/>
      <c r="B310" s="29" t="n"/>
      <c r="C310" s="29" t="n"/>
      <c r="D310" s="10" t="n"/>
      <c r="E310" s="25" t="n"/>
      <c r="F310" s="25" t="n"/>
    </row>
    <row r="311">
      <c r="A311" s="30" t="n"/>
      <c r="B311" s="30" t="n"/>
      <c r="C311" s="30" t="n"/>
      <c r="D311" s="11" t="n"/>
      <c r="E311" s="26" t="n"/>
      <c r="F311" s="26" t="n"/>
    </row>
    <row r="312">
      <c r="A312" s="29" t="n"/>
      <c r="B312" s="29" t="n"/>
      <c r="C312" s="29" t="n"/>
      <c r="D312" s="10" t="n"/>
      <c r="E312" s="25" t="n"/>
      <c r="F312" s="25" t="n"/>
    </row>
    <row r="313">
      <c r="A313" s="30" t="n"/>
      <c r="B313" s="30" t="n"/>
      <c r="C313" s="30" t="n"/>
      <c r="D313" s="11" t="n"/>
      <c r="E313" s="26" t="n"/>
      <c r="F313" s="26" t="n"/>
    </row>
    <row r="314">
      <c r="A314" s="29" t="n"/>
      <c r="B314" s="29" t="n"/>
      <c r="C314" s="29" t="n"/>
      <c r="D314" s="10" t="n"/>
      <c r="E314" s="25" t="n"/>
      <c r="F314" s="25" t="n"/>
    </row>
    <row r="315">
      <c r="A315" s="30" t="n"/>
      <c r="B315" s="30" t="n"/>
      <c r="C315" s="30" t="n"/>
      <c r="D315" s="11" t="n"/>
      <c r="E315" s="26" t="n"/>
      <c r="F315" s="26" t="n"/>
    </row>
    <row r="316">
      <c r="A316" s="29" t="n"/>
      <c r="B316" s="29" t="n"/>
      <c r="C316" s="29" t="n"/>
      <c r="D316" s="10" t="n"/>
      <c r="E316" s="25" t="n"/>
      <c r="F316" s="25" t="n"/>
    </row>
    <row r="317">
      <c r="A317" s="30" t="n"/>
      <c r="B317" s="30" t="n"/>
      <c r="C317" s="30" t="n"/>
      <c r="D317" s="11" t="n"/>
      <c r="E317" s="26" t="n"/>
      <c r="F317" s="26" t="n"/>
    </row>
    <row r="318">
      <c r="A318" s="29" t="n"/>
      <c r="B318" s="29" t="n"/>
      <c r="C318" s="29" t="n"/>
      <c r="D318" s="10" t="n"/>
      <c r="E318" s="25" t="n"/>
      <c r="F318" s="25" t="n"/>
    </row>
    <row r="319">
      <c r="A319" s="30" t="n"/>
      <c r="B319" s="30" t="n"/>
      <c r="C319" s="30" t="n"/>
      <c r="D319" s="11" t="n"/>
      <c r="E319" s="26" t="n"/>
      <c r="F319" s="26" t="n"/>
    </row>
    <row r="320">
      <c r="A320" s="29" t="n"/>
      <c r="B320" s="29" t="n"/>
      <c r="C320" s="29" t="n"/>
      <c r="D320" s="10" t="n"/>
      <c r="E320" s="25" t="n"/>
      <c r="F320" s="25" t="n"/>
    </row>
    <row r="321">
      <c r="A321" s="30" t="n"/>
      <c r="B321" s="30" t="n"/>
      <c r="C321" s="30" t="n"/>
      <c r="D321" s="11" t="n"/>
      <c r="E321" s="26" t="n"/>
      <c r="F321" s="26" t="n"/>
    </row>
    <row r="322">
      <c r="A322" s="29" t="n"/>
      <c r="B322" s="29" t="n"/>
      <c r="C322" s="29" t="n"/>
      <c r="D322" s="10" t="n"/>
      <c r="E322" s="25" t="n"/>
      <c r="F322" s="25" t="n"/>
    </row>
    <row r="323">
      <c r="A323" s="30" t="n"/>
      <c r="B323" s="30" t="n"/>
      <c r="C323" s="30" t="n"/>
      <c r="D323" s="11" t="n"/>
      <c r="E323" s="26" t="n"/>
      <c r="F323" s="26" t="n"/>
    </row>
    <row r="324">
      <c r="A324" s="29" t="n"/>
      <c r="B324" s="29" t="n"/>
      <c r="C324" s="29" t="n"/>
      <c r="D324" s="10" t="n"/>
      <c r="E324" s="25" t="n"/>
      <c r="F324" s="25" t="n"/>
    </row>
    <row r="325">
      <c r="A325" s="30" t="n"/>
      <c r="B325" s="30" t="n"/>
      <c r="C325" s="30" t="n"/>
      <c r="D325" s="11" t="n"/>
      <c r="E325" s="26" t="n"/>
      <c r="F325" s="26" t="n"/>
    </row>
    <row r="326">
      <c r="A326" s="29" t="n"/>
      <c r="B326" s="29" t="n"/>
      <c r="C326" s="29" t="n"/>
      <c r="D326" s="10" t="n"/>
      <c r="E326" s="25" t="n"/>
      <c r="F326" s="25" t="n"/>
    </row>
    <row r="327">
      <c r="A327" s="30" t="n"/>
      <c r="B327" s="30" t="n"/>
      <c r="C327" s="30" t="n"/>
      <c r="D327" s="11" t="n"/>
      <c r="E327" s="26" t="n"/>
      <c r="F327" s="26" t="n"/>
    </row>
    <row r="328">
      <c r="A328" s="29" t="n"/>
      <c r="B328" s="29" t="n"/>
      <c r="C328" s="29" t="n"/>
      <c r="D328" s="10" t="n"/>
      <c r="E328" s="25" t="n"/>
      <c r="F328" s="25" t="n"/>
    </row>
    <row r="329">
      <c r="A329" s="30" t="n"/>
      <c r="B329" s="30" t="n"/>
      <c r="C329" s="30" t="n"/>
      <c r="D329" s="11" t="n"/>
      <c r="E329" s="26" t="n"/>
      <c r="F329" s="26" t="n"/>
    </row>
    <row r="330">
      <c r="A330" s="29" t="n"/>
      <c r="B330" s="29" t="n"/>
      <c r="C330" s="29" t="n"/>
      <c r="D330" s="10" t="n"/>
      <c r="E330" s="25" t="n"/>
      <c r="F330" s="25" t="n"/>
    </row>
    <row r="331">
      <c r="A331" s="30" t="n"/>
      <c r="B331" s="30" t="n"/>
      <c r="C331" s="30" t="n"/>
      <c r="D331" s="11" t="n"/>
      <c r="E331" s="26" t="n"/>
      <c r="F331" s="26" t="n"/>
    </row>
    <row r="332">
      <c r="A332" s="29" t="n"/>
      <c r="B332" s="29" t="n"/>
      <c r="C332" s="29" t="n"/>
      <c r="D332" s="10" t="n"/>
      <c r="E332" s="25" t="n"/>
      <c r="F332" s="25" t="n"/>
    </row>
    <row r="333">
      <c r="A333" s="30" t="n"/>
      <c r="B333" s="30" t="n"/>
      <c r="C333" s="30" t="n"/>
      <c r="D333" s="11" t="n"/>
      <c r="E333" s="26" t="n"/>
      <c r="F333" s="26" t="n"/>
    </row>
    <row r="334">
      <c r="A334" s="29" t="n"/>
      <c r="B334" s="29" t="n"/>
      <c r="C334" s="29" t="n"/>
      <c r="D334" s="10" t="n"/>
      <c r="E334" s="25" t="n"/>
      <c r="F334" s="25" t="n"/>
    </row>
    <row r="335">
      <c r="A335" s="30" t="n"/>
      <c r="B335" s="30" t="n"/>
      <c r="C335" s="30" t="n"/>
      <c r="D335" s="11" t="n"/>
      <c r="E335" s="26" t="n"/>
      <c r="F335" s="26" t="n"/>
    </row>
    <row r="336">
      <c r="A336" s="29" t="n"/>
      <c r="B336" s="29" t="n"/>
      <c r="C336" s="29" t="n"/>
      <c r="D336" s="10" t="n"/>
      <c r="E336" s="25" t="n"/>
      <c r="F336" s="25" t="n"/>
    </row>
    <row r="337">
      <c r="A337" s="30" t="n"/>
      <c r="B337" s="30" t="n"/>
      <c r="C337" s="30" t="n"/>
      <c r="D337" s="11" t="n"/>
      <c r="E337" s="26" t="n"/>
      <c r="F337" s="26" t="n"/>
    </row>
    <row r="338">
      <c r="A338" s="29" t="n"/>
      <c r="B338" s="29" t="n"/>
      <c r="C338" s="29" t="n"/>
      <c r="D338" s="10" t="n"/>
      <c r="E338" s="25" t="n"/>
      <c r="F338" s="25" t="n"/>
    </row>
    <row r="339">
      <c r="A339" s="30" t="n"/>
      <c r="B339" s="30" t="n"/>
      <c r="C339" s="30" t="n"/>
      <c r="D339" s="11" t="n"/>
      <c r="E339" s="26" t="n"/>
      <c r="F339" s="26" t="n"/>
    </row>
    <row r="340">
      <c r="A340" s="29" t="n"/>
      <c r="B340" s="29" t="n"/>
      <c r="C340" s="29" t="n"/>
      <c r="D340" s="10" t="n"/>
      <c r="E340" s="25" t="n"/>
      <c r="F340" s="25" t="n"/>
    </row>
    <row r="341">
      <c r="A341" s="30" t="n"/>
      <c r="B341" s="30" t="n"/>
      <c r="C341" s="30" t="n"/>
      <c r="D341" s="11" t="n"/>
      <c r="E341" s="26" t="n"/>
      <c r="F341" s="26" t="n"/>
    </row>
    <row r="342">
      <c r="A342" s="29" t="n"/>
      <c r="B342" s="29" t="n"/>
      <c r="C342" s="29" t="n"/>
      <c r="D342" s="10" t="n"/>
      <c r="E342" s="25" t="n"/>
      <c r="F342" s="2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pane ySplit="4" topLeftCell="A5" activePane="bottomLeft" state="frozen"/>
      <selection pane="bottomLeft" activeCell="I7" sqref="I7"/>
    </sheetView>
  </sheetViews>
  <sheetFormatPr baseColWidth="10" defaultColWidth="8.88671875" defaultRowHeight="14.4"/>
  <cols>
    <col width="14" customWidth="1" style="40" min="1" max="1"/>
    <col width="9" customWidth="1" style="40" min="2" max="2"/>
    <col width="22" customWidth="1" style="40" min="3" max="3"/>
    <col width="12" customWidth="1" style="40" min="4" max="4"/>
    <col width="13" customWidth="1" style="40" min="5" max="6"/>
    <col width="12" customWidth="1" style="40" min="7" max="7"/>
  </cols>
  <sheetData>
    <row r="1" ht="22.05" customHeight="1" s="40">
      <c r="A1" s="41" t="inlineStr">
        <is>
          <t>COSTOS UNITARIOS — Actualizá TC en B2 (MONCAR) y E2 (RMH) para recalcular todo</t>
        </is>
      </c>
    </row>
    <row r="2" ht="18" customHeight="1" s="40">
      <c r="A2" s="2" t="inlineStr">
        <is>
          <t>TC MONCAR:</t>
        </is>
      </c>
      <c r="B2" s="3" t="n">
        <v>1417.5</v>
      </c>
      <c r="D2" s="2" t="inlineStr">
        <is>
          <t>TC RMH:</t>
        </is>
      </c>
      <c r="E2" s="3" t="n">
        <v>1440</v>
      </c>
      <c r="G2" s="4" t="inlineStr">
        <is>
          <t>← Editá estos valores para actualizar el CMV automáticamente</t>
        </is>
      </c>
    </row>
    <row r="3" ht="6" customHeight="1" s="40"/>
    <row r="4" ht="30" customHeight="1" s="40">
      <c r="A4" s="5" t="inlineStr">
        <is>
          <t>COD</t>
        </is>
      </c>
      <c r="B4" s="5" t="inlineStr">
        <is>
          <t>LINEA</t>
        </is>
      </c>
      <c r="C4" s="5" t="inlineStr">
        <is>
          <t>MARCA</t>
        </is>
      </c>
      <c r="D4" s="5" t="inlineStr">
        <is>
          <t>COSTO
USD</t>
        </is>
      </c>
      <c r="E4" s="5" t="inlineStr">
        <is>
          <t>COSTO
PESOS</t>
        </is>
      </c>
      <c r="F4" s="5" t="inlineStr">
        <is>
          <t>PRECIO
VENTA</t>
        </is>
      </c>
      <c r="G4" s="5" t="inlineStr">
        <is>
          <t>MARGEN
BRUTO</t>
        </is>
      </c>
    </row>
    <row r="5">
      <c r="A5" t="inlineStr">
        <is>
          <t>CE 001</t>
        </is>
      </c>
      <c r="B5" t="inlineStr">
        <is>
          <t>MONCAR</t>
        </is>
      </c>
      <c r="C5" t="inlineStr">
        <is>
          <t>HOGAR</t>
        </is>
      </c>
      <c r="D5" s="6" t="n">
        <v>0.3</v>
      </c>
      <c r="E5" s="1">
        <f>D5*$B$2</f>
        <v/>
      </c>
      <c r="F5" s="1" t="n">
        <v>6170</v>
      </c>
      <c r="G5" s="7">
        <f>IFERROR(1-E5/F5,"")</f>
        <v/>
      </c>
    </row>
    <row r="6">
      <c r="A6" t="inlineStr">
        <is>
          <t>CE 006</t>
        </is>
      </c>
      <c r="B6" t="inlineStr">
        <is>
          <t>MONCAR</t>
        </is>
      </c>
      <c r="C6" t="inlineStr">
        <is>
          <t>HOGAR</t>
        </is>
      </c>
      <c r="D6" s="6" t="n">
        <v>0.22</v>
      </c>
      <c r="E6" s="1">
        <f>D6*$B$2</f>
        <v/>
      </c>
      <c r="F6" s="1" t="n">
        <v>5590</v>
      </c>
      <c r="G6" s="7">
        <f>IFERROR(1-E6/F6,"")</f>
        <v/>
      </c>
    </row>
    <row r="7">
      <c r="A7" t="inlineStr">
        <is>
          <t>CE 021</t>
        </is>
      </c>
      <c r="B7" t="inlineStr">
        <is>
          <t>MONCAR</t>
        </is>
      </c>
      <c r="C7" t="inlineStr">
        <is>
          <t>HOGAR</t>
        </is>
      </c>
      <c r="D7" s="6" t="n">
        <v>0.23</v>
      </c>
      <c r="E7" s="1">
        <f>D7*$B$2</f>
        <v/>
      </c>
      <c r="F7" s="1" t="n">
        <v>5270</v>
      </c>
      <c r="G7" s="7">
        <f>IFERROR(1-E7/F7,"")</f>
        <v/>
      </c>
    </row>
    <row r="8">
      <c r="A8" t="inlineStr">
        <is>
          <t>CE 022</t>
        </is>
      </c>
      <c r="B8" t="inlineStr">
        <is>
          <t>MONCAR</t>
        </is>
      </c>
      <c r="C8" t="inlineStr">
        <is>
          <t>HOGAR</t>
        </is>
      </c>
      <c r="D8" s="6" t="n">
        <v>0.22</v>
      </c>
      <c r="E8" s="1">
        <f>D8*$B$2</f>
        <v/>
      </c>
      <c r="F8" s="1" t="n">
        <v>5270</v>
      </c>
      <c r="G8" s="7">
        <f>IFERROR(1-E8/F8,"")</f>
        <v/>
      </c>
    </row>
    <row r="9">
      <c r="A9" t="inlineStr">
        <is>
          <t>CE 023</t>
        </is>
      </c>
      <c r="B9" t="inlineStr">
        <is>
          <t>MONCAR</t>
        </is>
      </c>
      <c r="C9" t="inlineStr">
        <is>
          <t>HOGAR</t>
        </is>
      </c>
      <c r="D9" s="6" t="n">
        <v>0.22</v>
      </c>
      <c r="E9" s="1">
        <f>D9*$B$2</f>
        <v/>
      </c>
      <c r="F9" s="1" t="n">
        <v>5270</v>
      </c>
      <c r="G9" s="7">
        <f>IFERROR(1-E9/F9,"")</f>
        <v/>
      </c>
    </row>
    <row r="10">
      <c r="A10" t="inlineStr">
        <is>
          <t>CE 044</t>
        </is>
      </c>
      <c r="B10" t="inlineStr">
        <is>
          <t>MONCAR</t>
        </is>
      </c>
      <c r="C10" t="inlineStr">
        <is>
          <t>HOGAR</t>
        </is>
      </c>
      <c r="D10" s="6" t="n">
        <v>0.09</v>
      </c>
      <c r="E10" s="1">
        <f>D10*$B$2</f>
        <v/>
      </c>
      <c r="F10" s="1" t="n">
        <v>2530</v>
      </c>
      <c r="G10" s="7">
        <f>IFERROR(1-E10/F10,"")</f>
        <v/>
      </c>
    </row>
    <row r="11">
      <c r="A11" t="inlineStr">
        <is>
          <t>CE 045</t>
        </is>
      </c>
      <c r="B11" t="inlineStr">
        <is>
          <t>MONCAR</t>
        </is>
      </c>
      <c r="C11" t="inlineStr">
        <is>
          <t>HOGAR</t>
        </is>
      </c>
      <c r="D11" s="6" t="n">
        <v>0.11</v>
      </c>
      <c r="E11" s="1">
        <f>D11*$B$2</f>
        <v/>
      </c>
      <c r="F11" s="1" t="n">
        <v>2780</v>
      </c>
      <c r="G11" s="7">
        <f>IFERROR(1-E11/F11,"")</f>
        <v/>
      </c>
    </row>
    <row r="12">
      <c r="A12" t="inlineStr">
        <is>
          <t>CE 302</t>
        </is>
      </c>
      <c r="B12" t="inlineStr">
        <is>
          <t>MONCAR</t>
        </is>
      </c>
      <c r="C12" t="inlineStr">
        <is>
          <t>HOGAR</t>
        </is>
      </c>
      <c r="D12" s="6" t="n">
        <v>0.17</v>
      </c>
      <c r="E12" s="1">
        <f>D12*$B$2</f>
        <v/>
      </c>
      <c r="F12" s="1" t="n">
        <v>4280</v>
      </c>
      <c r="G12" s="7">
        <f>IFERROR(1-E12/F12,"")</f>
        <v/>
      </c>
    </row>
    <row r="13">
      <c r="A13" t="inlineStr">
        <is>
          <t>CE 303</t>
        </is>
      </c>
      <c r="B13" t="inlineStr">
        <is>
          <t>MONCAR</t>
        </is>
      </c>
      <c r="C13" t="inlineStr">
        <is>
          <t>HOGAR</t>
        </is>
      </c>
      <c r="D13" s="6" t="n">
        <v>0.19</v>
      </c>
      <c r="E13" s="1">
        <f>D13*$B$2</f>
        <v/>
      </c>
      <c r="F13" s="1" t="n">
        <v>4800</v>
      </c>
      <c r="G13" s="7">
        <f>IFERROR(1-E13/F13,"")</f>
        <v/>
      </c>
    </row>
    <row r="14">
      <c r="A14" t="inlineStr">
        <is>
          <t>CE 304</t>
        </is>
      </c>
      <c r="B14" t="inlineStr">
        <is>
          <t>MONCAR</t>
        </is>
      </c>
      <c r="C14" t="inlineStr">
        <is>
          <t>HOGAR</t>
        </is>
      </c>
      <c r="D14" s="6" t="n">
        <v>0.19</v>
      </c>
      <c r="E14" s="1">
        <f>D14*$B$2</f>
        <v/>
      </c>
      <c r="F14" s="1" t="n">
        <v>4800</v>
      </c>
      <c r="G14" s="7">
        <f>IFERROR(1-E14/F14,"")</f>
        <v/>
      </c>
    </row>
    <row r="15">
      <c r="A15" t="inlineStr">
        <is>
          <t>CE 307</t>
        </is>
      </c>
      <c r="B15" t="inlineStr">
        <is>
          <t>MONCAR</t>
        </is>
      </c>
      <c r="C15" t="inlineStr">
        <is>
          <t>HOGAR</t>
        </is>
      </c>
      <c r="D15" s="6" t="n">
        <v>0.3</v>
      </c>
      <c r="E15" s="1">
        <f>D15*$B$2</f>
        <v/>
      </c>
      <c r="F15" s="1" t="n">
        <v>7380</v>
      </c>
      <c r="G15" s="7">
        <f>IFERROR(1-E15/F15,"")</f>
        <v/>
      </c>
    </row>
    <row r="16">
      <c r="A16" t="inlineStr">
        <is>
          <t>CE 308</t>
        </is>
      </c>
      <c r="B16" t="inlineStr">
        <is>
          <t>MONCAR</t>
        </is>
      </c>
      <c r="C16" t="inlineStr">
        <is>
          <t>HOGAR</t>
        </is>
      </c>
      <c r="D16" s="6" t="n">
        <v>0.34</v>
      </c>
      <c r="E16" s="1">
        <f>D16*$B$2</f>
        <v/>
      </c>
      <c r="F16" s="1" t="n">
        <v>7260</v>
      </c>
      <c r="G16" s="7">
        <f>IFERROR(1-E16/F16,"")</f>
        <v/>
      </c>
    </row>
    <row r="17">
      <c r="A17" t="inlineStr">
        <is>
          <t>CF 001</t>
        </is>
      </c>
      <c r="B17" t="inlineStr">
        <is>
          <t>MONCAR</t>
        </is>
      </c>
      <c r="C17" t="inlineStr">
        <is>
          <t>DOWEN PAGGIO</t>
        </is>
      </c>
      <c r="D17" s="6" t="n">
        <v>0.12</v>
      </c>
      <c r="E17" s="1">
        <f>D17*$B$2</f>
        <v/>
      </c>
      <c r="F17" s="1" t="n">
        <v>0</v>
      </c>
      <c r="G17" s="7">
        <f>IFERROR(1-E17/F17,"")</f>
        <v/>
      </c>
    </row>
    <row r="18">
      <c r="A18" t="inlineStr">
        <is>
          <t>CF 002</t>
        </is>
      </c>
      <c r="B18" t="inlineStr">
        <is>
          <t>MONCAR</t>
        </is>
      </c>
      <c r="C18" t="inlineStr">
        <is>
          <t>DOWEN PAGGIO</t>
        </is>
      </c>
      <c r="D18" s="6" t="n">
        <v>0.14</v>
      </c>
      <c r="E18" s="1">
        <f>D18*$B$2</f>
        <v/>
      </c>
      <c r="F18" s="1" t="n">
        <v>3540</v>
      </c>
      <c r="G18" s="7">
        <f>IFERROR(1-E18/F18,"")</f>
        <v/>
      </c>
    </row>
    <row r="19">
      <c r="A19" t="inlineStr">
        <is>
          <t>CF 003</t>
        </is>
      </c>
      <c r="B19" t="inlineStr">
        <is>
          <t>MONCAR</t>
        </is>
      </c>
      <c r="C19" t="inlineStr">
        <is>
          <t>DOWEN PAGGIO</t>
        </is>
      </c>
      <c r="D19" s="6" t="n">
        <v>0.11</v>
      </c>
      <c r="E19" s="1">
        <f>D19*$B$2</f>
        <v/>
      </c>
      <c r="F19" s="1" t="n">
        <v>2780</v>
      </c>
      <c r="G19" s="7">
        <f>IFERROR(1-E19/F19,"")</f>
        <v/>
      </c>
    </row>
    <row r="20">
      <c r="A20" t="inlineStr">
        <is>
          <t>CF 004</t>
        </is>
      </c>
      <c r="B20" t="inlineStr">
        <is>
          <t>MONCAR</t>
        </is>
      </c>
      <c r="C20" t="inlineStr">
        <is>
          <t>DOWEN PAGGIO</t>
        </is>
      </c>
      <c r="D20" s="6" t="n">
        <v>0.08</v>
      </c>
      <c r="E20" s="1">
        <f>D20*$B$2</f>
        <v/>
      </c>
      <c r="F20" s="1" t="n">
        <v>0</v>
      </c>
      <c r="G20" s="7">
        <f>IFERROR(1-E20/F20,"")</f>
        <v/>
      </c>
    </row>
    <row r="21">
      <c r="A21" t="inlineStr">
        <is>
          <t>CF 005</t>
        </is>
      </c>
      <c r="B21" t="inlineStr">
        <is>
          <t>MONCAR</t>
        </is>
      </c>
      <c r="C21" t="inlineStr">
        <is>
          <t>DOWEN PAGGIO</t>
        </is>
      </c>
      <c r="D21" s="6" t="n">
        <v>0.22</v>
      </c>
      <c r="E21" s="1">
        <f>D21*$B$2</f>
        <v/>
      </c>
      <c r="F21" s="1" t="n">
        <v>5590</v>
      </c>
      <c r="G21" s="7">
        <f>IFERROR(1-E21/F21,"")</f>
        <v/>
      </c>
    </row>
    <row r="22">
      <c r="A22" t="inlineStr">
        <is>
          <t>CF 009</t>
        </is>
      </c>
      <c r="B22" t="inlineStr">
        <is>
          <t>MONCAR</t>
        </is>
      </c>
      <c r="C22" t="inlineStr">
        <is>
          <t>BLACK &amp; DECKER</t>
        </is>
      </c>
      <c r="D22" s="6" t="n">
        <v>0.09</v>
      </c>
      <c r="E22" s="1">
        <f>D22*$B$2</f>
        <v/>
      </c>
      <c r="F22" s="1" t="n">
        <v>2530</v>
      </c>
      <c r="G22" s="7">
        <f>IFERROR(1-E22/F22,"")</f>
        <v/>
      </c>
    </row>
    <row r="23">
      <c r="A23" t="inlineStr">
        <is>
          <t>CF 012</t>
        </is>
      </c>
      <c r="B23" t="inlineStr">
        <is>
          <t>MONCAR</t>
        </is>
      </c>
      <c r="C23" t="inlineStr">
        <is>
          <t>BLACK &amp; DECKER</t>
        </is>
      </c>
      <c r="D23" s="6" t="n">
        <v>0.14</v>
      </c>
      <c r="E23" s="1">
        <f>D23*$B$2</f>
        <v/>
      </c>
      <c r="F23" s="1" t="n">
        <v>3540</v>
      </c>
      <c r="G23" s="7">
        <f>IFERROR(1-E23/F23,"")</f>
        <v/>
      </c>
    </row>
    <row r="24">
      <c r="A24" t="inlineStr">
        <is>
          <t>CF 013</t>
        </is>
      </c>
      <c r="B24" t="inlineStr">
        <is>
          <t>MONCAR</t>
        </is>
      </c>
      <c r="C24" t="inlineStr">
        <is>
          <t>BLACK &amp; DECKER</t>
        </is>
      </c>
      <c r="D24" s="6" t="n">
        <v>0.082</v>
      </c>
      <c r="E24" s="1">
        <f>D24*$B$2</f>
        <v/>
      </c>
      <c r="F24" s="1" t="n">
        <v>2200</v>
      </c>
      <c r="G24" s="7">
        <f>IFERROR(1-E24/F24,"")</f>
        <v/>
      </c>
    </row>
    <row r="25">
      <c r="A25" t="inlineStr">
        <is>
          <t>CF 014</t>
        </is>
      </c>
      <c r="B25" t="inlineStr">
        <is>
          <t>MONCAR</t>
        </is>
      </c>
      <c r="C25" t="inlineStr">
        <is>
          <t>BLACK &amp; DECKER</t>
        </is>
      </c>
      <c r="D25" s="6" t="n">
        <v>0.23</v>
      </c>
      <c r="E25" s="1">
        <f>D25*$B$2</f>
        <v/>
      </c>
      <c r="F25" s="1" t="n">
        <v>5500</v>
      </c>
      <c r="G25" s="7">
        <f>IFERROR(1-E25/F25,"")</f>
        <v/>
      </c>
    </row>
    <row r="26">
      <c r="A26" t="inlineStr">
        <is>
          <t>CF 015</t>
        </is>
      </c>
      <c r="B26" t="inlineStr">
        <is>
          <t>MONCAR</t>
        </is>
      </c>
      <c r="C26" t="inlineStr">
        <is>
          <t>BLACK &amp; DECKER</t>
        </is>
      </c>
      <c r="D26" s="6" t="n">
        <v>0.22</v>
      </c>
      <c r="E26" s="1">
        <f>D26*$B$2</f>
        <v/>
      </c>
      <c r="F26" s="1" t="n">
        <v>5590</v>
      </c>
      <c r="G26" s="7">
        <f>IFERROR(1-E26/F26,"")</f>
        <v/>
      </c>
    </row>
    <row r="27">
      <c r="A27" t="inlineStr">
        <is>
          <t>CF 016</t>
        </is>
      </c>
      <c r="B27" t="inlineStr">
        <is>
          <t>MONCAR</t>
        </is>
      </c>
      <c r="C27" t="inlineStr">
        <is>
          <t>BOSCH</t>
        </is>
      </c>
      <c r="D27" s="6" t="n">
        <v>0.16</v>
      </c>
      <c r="E27" s="1">
        <f>D27*$B$2</f>
        <v/>
      </c>
      <c r="F27" s="1" t="n">
        <v>0</v>
      </c>
      <c r="G27" s="7">
        <f>IFERROR(1-E27/F27,"")</f>
        <v/>
      </c>
    </row>
    <row r="28">
      <c r="A28" t="inlineStr">
        <is>
          <t>CF 017</t>
        </is>
      </c>
      <c r="B28" t="inlineStr">
        <is>
          <t>MONCAR</t>
        </is>
      </c>
      <c r="C28" t="inlineStr">
        <is>
          <t>BOSCH</t>
        </is>
      </c>
      <c r="D28" s="6" t="n">
        <v>0.157</v>
      </c>
      <c r="E28" s="1">
        <f>D28*$B$2</f>
        <v/>
      </c>
      <c r="F28" s="1" t="n">
        <v>0</v>
      </c>
      <c r="G28" s="7">
        <f>IFERROR(1-E28/F28,"")</f>
        <v/>
      </c>
    </row>
    <row r="29">
      <c r="A29" t="inlineStr">
        <is>
          <t>CF 018</t>
        </is>
      </c>
      <c r="B29" t="inlineStr">
        <is>
          <t>MONCAR</t>
        </is>
      </c>
      <c r="C29" t="inlineStr">
        <is>
          <t>BOSCH</t>
        </is>
      </c>
      <c r="D29" s="6" t="n">
        <v>0.19</v>
      </c>
      <c r="E29" s="1">
        <f>D29*$B$2</f>
        <v/>
      </c>
      <c r="F29" s="1" t="n">
        <v>4800</v>
      </c>
      <c r="G29" s="7">
        <f>IFERROR(1-E29/F29,"")</f>
        <v/>
      </c>
    </row>
    <row r="30">
      <c r="A30" t="inlineStr">
        <is>
          <t>CF 019</t>
        </is>
      </c>
      <c r="B30" t="inlineStr">
        <is>
          <t>MONCAR</t>
        </is>
      </c>
      <c r="C30" t="inlineStr">
        <is>
          <t>BOSCH</t>
        </is>
      </c>
      <c r="D30" s="6" t="n">
        <v>0.15</v>
      </c>
      <c r="E30" s="1">
        <f>D30*$B$2</f>
        <v/>
      </c>
      <c r="F30" s="1" t="n">
        <v>3540</v>
      </c>
      <c r="G30" s="7">
        <f>IFERROR(1-E30/F30,"")</f>
        <v/>
      </c>
    </row>
    <row r="31">
      <c r="A31" t="inlineStr">
        <is>
          <t>CF 020</t>
        </is>
      </c>
      <c r="B31" t="inlineStr">
        <is>
          <t>MONCAR</t>
        </is>
      </c>
      <c r="C31" t="inlineStr">
        <is>
          <t>BOSCH</t>
        </is>
      </c>
      <c r="D31" s="6" t="n">
        <v>0.23</v>
      </c>
      <c r="E31" s="1">
        <f>D31*$B$2</f>
        <v/>
      </c>
      <c r="F31" s="1" t="n">
        <v>5640</v>
      </c>
      <c r="G31" s="7">
        <f>IFERROR(1-E31/F31,"")</f>
        <v/>
      </c>
    </row>
    <row r="32">
      <c r="A32" t="inlineStr">
        <is>
          <t>CF 021</t>
        </is>
      </c>
      <c r="B32" t="inlineStr">
        <is>
          <t>MONCAR</t>
        </is>
      </c>
      <c r="C32" t="inlineStr">
        <is>
          <t>BOSCH</t>
        </is>
      </c>
      <c r="D32" s="6" t="n">
        <v>0.128</v>
      </c>
      <c r="E32" s="1">
        <f>D32*$B$2</f>
        <v/>
      </c>
      <c r="F32" s="1" t="n">
        <v>0</v>
      </c>
      <c r="G32" s="7">
        <f>IFERROR(1-E32/F32,"")</f>
        <v/>
      </c>
    </row>
    <row r="33">
      <c r="A33" t="inlineStr">
        <is>
          <t>CF 022</t>
        </is>
      </c>
      <c r="B33" t="inlineStr">
        <is>
          <t>MONCAR</t>
        </is>
      </c>
      <c r="C33" t="inlineStr">
        <is>
          <t>BOSCH</t>
        </is>
      </c>
      <c r="D33" s="6" t="n">
        <v>0.198</v>
      </c>
      <c r="E33" s="1">
        <f>D33*$B$2</f>
        <v/>
      </c>
      <c r="F33" s="1" t="n">
        <v>0</v>
      </c>
      <c r="G33" s="7">
        <f>IFERROR(1-E33/F33,"")</f>
        <v/>
      </c>
    </row>
    <row r="34">
      <c r="A34" t="inlineStr">
        <is>
          <t>CF 023</t>
        </is>
      </c>
      <c r="B34" t="inlineStr">
        <is>
          <t>MONCAR</t>
        </is>
      </c>
      <c r="C34" t="inlineStr">
        <is>
          <t>BOSCH</t>
        </is>
      </c>
      <c r="D34" s="6" t="n">
        <v>0.21</v>
      </c>
      <c r="E34" s="1">
        <f>D34*$B$2</f>
        <v/>
      </c>
      <c r="F34" s="1" t="n">
        <v>4800</v>
      </c>
      <c r="G34" s="7">
        <f>IFERROR(1-E34/F34,"")</f>
        <v/>
      </c>
    </row>
    <row r="35">
      <c r="A35" t="inlineStr">
        <is>
          <t>CF 024</t>
        </is>
      </c>
      <c r="B35" t="inlineStr">
        <is>
          <t>MONCAR</t>
        </is>
      </c>
      <c r="C35" t="inlineStr">
        <is>
          <t>BOSCH</t>
        </is>
      </c>
      <c r="D35" s="6" t="n">
        <v>0.13</v>
      </c>
      <c r="E35" s="1">
        <f>D35*$B$2</f>
        <v/>
      </c>
      <c r="F35" s="1" t="n">
        <v>0</v>
      </c>
      <c r="G35" s="7">
        <f>IFERROR(1-E35/F35,"")</f>
        <v/>
      </c>
    </row>
    <row r="36">
      <c r="A36" t="inlineStr">
        <is>
          <t>CF 025</t>
        </is>
      </c>
      <c r="B36" t="inlineStr">
        <is>
          <t>MONCAR</t>
        </is>
      </c>
      <c r="C36" t="inlineStr">
        <is>
          <t>BOSCH</t>
        </is>
      </c>
      <c r="D36" s="6" t="n">
        <v>0.13</v>
      </c>
      <c r="E36" s="1">
        <f>D36*$B$2</f>
        <v/>
      </c>
      <c r="F36" s="1" t="n">
        <v>0</v>
      </c>
      <c r="G36" s="7">
        <f>IFERROR(1-E36/F36,"")</f>
        <v/>
      </c>
    </row>
    <row r="37">
      <c r="A37" t="inlineStr">
        <is>
          <t>CF 027</t>
        </is>
      </c>
      <c r="B37" t="inlineStr">
        <is>
          <t>MONCAR</t>
        </is>
      </c>
      <c r="C37" t="inlineStr">
        <is>
          <t>DOVER</t>
        </is>
      </c>
      <c r="D37" s="6" t="n">
        <v>0.23</v>
      </c>
      <c r="E37" s="1">
        <f>D37*$B$2</f>
        <v/>
      </c>
      <c r="F37" s="1" t="n">
        <v>0</v>
      </c>
      <c r="G37" s="7">
        <f>IFERROR(1-E37/F37,"")</f>
        <v/>
      </c>
    </row>
    <row r="38">
      <c r="A38" t="inlineStr">
        <is>
          <t>CF 028</t>
        </is>
      </c>
      <c r="B38" t="inlineStr">
        <is>
          <t>MONCAR</t>
        </is>
      </c>
      <c r="C38" t="inlineStr">
        <is>
          <t>DOVER</t>
        </is>
      </c>
      <c r="D38" s="6" t="n">
        <v>0.22</v>
      </c>
      <c r="E38" s="1">
        <f>D38*$B$2</f>
        <v/>
      </c>
      <c r="F38" s="1" t="n">
        <v>5590</v>
      </c>
      <c r="G38" s="7">
        <f>IFERROR(1-E38/F38,"")</f>
        <v/>
      </c>
    </row>
    <row r="39">
      <c r="A39" t="inlineStr">
        <is>
          <t>CF 029</t>
        </is>
      </c>
      <c r="B39" t="inlineStr">
        <is>
          <t>MONCAR</t>
        </is>
      </c>
      <c r="C39" t="inlineStr">
        <is>
          <t>DOVER</t>
        </is>
      </c>
      <c r="D39" s="6" t="n">
        <v>0.285</v>
      </c>
      <c r="E39" s="1">
        <f>D39*$B$2</f>
        <v/>
      </c>
      <c r="F39" s="1" t="n">
        <v>0</v>
      </c>
      <c r="G39" s="7">
        <f>IFERROR(1-E39/F39,"")</f>
        <v/>
      </c>
    </row>
    <row r="40">
      <c r="A40" t="inlineStr">
        <is>
          <t>CF 034</t>
        </is>
      </c>
      <c r="B40" t="inlineStr">
        <is>
          <t>MONCAR</t>
        </is>
      </c>
      <c r="C40" t="inlineStr">
        <is>
          <t>DRILL</t>
        </is>
      </c>
      <c r="D40" s="6" t="n">
        <v>0.17</v>
      </c>
      <c r="E40" s="1">
        <f>D40*$B$2</f>
        <v/>
      </c>
      <c r="F40" s="1" t="n">
        <v>4230</v>
      </c>
      <c r="G40" s="7">
        <f>IFERROR(1-E40/F40,"")</f>
        <v/>
      </c>
    </row>
    <row r="41">
      <c r="A41" t="inlineStr">
        <is>
          <t>CF 040</t>
        </is>
      </c>
      <c r="B41" t="inlineStr">
        <is>
          <t>MONCAR</t>
        </is>
      </c>
      <c r="C41" t="inlineStr">
        <is>
          <t>HITACHI</t>
        </is>
      </c>
      <c r="D41" s="6" t="n">
        <v>0.14</v>
      </c>
      <c r="E41" s="1">
        <f>D41*$B$2</f>
        <v/>
      </c>
      <c r="F41" s="1" t="n">
        <v>0</v>
      </c>
      <c r="G41" s="7">
        <f>IFERROR(1-E41/F41,"")</f>
        <v/>
      </c>
    </row>
    <row r="42">
      <c r="A42" t="inlineStr">
        <is>
          <t>CF 041</t>
        </is>
      </c>
      <c r="B42" t="inlineStr">
        <is>
          <t>MONCAR</t>
        </is>
      </c>
      <c r="C42" t="inlineStr">
        <is>
          <t>HITACHI</t>
        </is>
      </c>
      <c r="D42" s="6" t="n">
        <v>0.11</v>
      </c>
      <c r="E42" s="1">
        <f>D42*$B$2</f>
        <v/>
      </c>
      <c r="F42" s="1" t="n">
        <v>2780</v>
      </c>
      <c r="G42" s="7">
        <f>IFERROR(1-E42/F42,"")</f>
        <v/>
      </c>
    </row>
    <row r="43">
      <c r="A43" t="inlineStr">
        <is>
          <t>CF 042</t>
        </is>
      </c>
      <c r="B43" t="inlineStr">
        <is>
          <t>MONCAR</t>
        </is>
      </c>
      <c r="C43" t="inlineStr">
        <is>
          <t>HITACHI</t>
        </is>
      </c>
      <c r="D43" s="6" t="n">
        <v>0.145</v>
      </c>
      <c r="E43" s="1">
        <f>D43*$B$2</f>
        <v/>
      </c>
      <c r="F43" s="1" t="n">
        <v>0</v>
      </c>
      <c r="G43" s="7">
        <f>IFERROR(1-E43/F43,"")</f>
        <v/>
      </c>
    </row>
    <row r="44">
      <c r="A44" t="inlineStr">
        <is>
          <t>CF 043</t>
        </is>
      </c>
      <c r="B44" t="inlineStr">
        <is>
          <t>MONCAR</t>
        </is>
      </c>
      <c r="C44" t="inlineStr">
        <is>
          <t>HITACHI</t>
        </is>
      </c>
      <c r="D44" s="6" t="n">
        <v>0.13</v>
      </c>
      <c r="E44" s="1">
        <f>D44*$B$2</f>
        <v/>
      </c>
      <c r="F44" s="1" t="n">
        <v>3280</v>
      </c>
      <c r="G44" s="7">
        <f>IFERROR(1-E44/F44,"")</f>
        <v/>
      </c>
    </row>
    <row r="45">
      <c r="A45" t="inlineStr">
        <is>
          <t>CF 044</t>
        </is>
      </c>
      <c r="B45" t="inlineStr">
        <is>
          <t>MONCAR</t>
        </is>
      </c>
      <c r="C45" t="inlineStr">
        <is>
          <t>HITACHI</t>
        </is>
      </c>
      <c r="D45" s="6" t="n">
        <v>0.17</v>
      </c>
      <c r="E45" s="1">
        <f>D45*$B$2</f>
        <v/>
      </c>
      <c r="F45" s="1" t="n">
        <v>0</v>
      </c>
      <c r="G45" s="7">
        <f>IFERROR(1-E45/F45,"")</f>
        <v/>
      </c>
    </row>
    <row r="46">
      <c r="A46" t="inlineStr">
        <is>
          <t>CF 045</t>
        </is>
      </c>
      <c r="B46" t="inlineStr">
        <is>
          <t>MONCAR</t>
        </is>
      </c>
      <c r="C46" t="inlineStr">
        <is>
          <t>HITACHI</t>
        </is>
      </c>
      <c r="D46" s="6" t="n">
        <v>0.23</v>
      </c>
      <c r="E46" s="1">
        <f>D46*$B$2</f>
        <v/>
      </c>
      <c r="F46" s="1" t="n">
        <v>0</v>
      </c>
      <c r="G46" s="7">
        <f>IFERROR(1-E46/F46,"")</f>
        <v/>
      </c>
    </row>
    <row r="47">
      <c r="A47" t="inlineStr">
        <is>
          <t>CF 054</t>
        </is>
      </c>
      <c r="B47" t="inlineStr">
        <is>
          <t>MONCAR</t>
        </is>
      </c>
      <c r="C47" t="inlineStr">
        <is>
          <t>MAKITA</t>
        </is>
      </c>
      <c r="D47" s="6" t="n">
        <v>0.15</v>
      </c>
      <c r="E47" s="1">
        <f>D47*$B$2</f>
        <v/>
      </c>
      <c r="F47" s="1" t="n">
        <v>3720</v>
      </c>
      <c r="G47" s="7">
        <f>IFERROR(1-E47/F47,"")</f>
        <v/>
      </c>
    </row>
    <row r="48">
      <c r="A48" t="inlineStr">
        <is>
          <t>CF 055</t>
        </is>
      </c>
      <c r="B48" t="inlineStr">
        <is>
          <t>MONCAR</t>
        </is>
      </c>
      <c r="C48" t="inlineStr">
        <is>
          <t>MAKITA</t>
        </is>
      </c>
      <c r="D48" s="6" t="n">
        <v>0.23</v>
      </c>
      <c r="E48" s="1">
        <f>D48*$B$2</f>
        <v/>
      </c>
      <c r="F48" s="1" t="n">
        <v>5170</v>
      </c>
      <c r="G48" s="7">
        <f>IFERROR(1-E48/F48,"")</f>
        <v/>
      </c>
    </row>
    <row r="49">
      <c r="A49" t="inlineStr">
        <is>
          <t>CF 056</t>
        </is>
      </c>
      <c r="B49" t="inlineStr">
        <is>
          <t>MONCAR</t>
        </is>
      </c>
      <c r="C49" t="inlineStr">
        <is>
          <t>MAKITA</t>
        </is>
      </c>
      <c r="D49" s="6" t="n">
        <v>0.23</v>
      </c>
      <c r="E49" s="1">
        <f>D49*$B$2</f>
        <v/>
      </c>
      <c r="F49" s="1" t="n">
        <v>5690</v>
      </c>
      <c r="G49" s="7">
        <f>IFERROR(1-E49/F49,"")</f>
        <v/>
      </c>
    </row>
    <row r="50">
      <c r="A50" t="inlineStr">
        <is>
          <t>CF 057</t>
        </is>
      </c>
      <c r="B50" t="inlineStr">
        <is>
          <t>MONCAR</t>
        </is>
      </c>
      <c r="C50" t="inlineStr">
        <is>
          <t>MAKITA</t>
        </is>
      </c>
      <c r="D50" s="6" t="n">
        <v>0.23</v>
      </c>
      <c r="E50" s="1">
        <f>D50*$B$2</f>
        <v/>
      </c>
      <c r="F50" s="1" t="n">
        <v>5690</v>
      </c>
      <c r="G50" s="7">
        <f>IFERROR(1-E50/F50,"")</f>
        <v/>
      </c>
    </row>
    <row r="51">
      <c r="A51" t="inlineStr">
        <is>
          <t>CF 058</t>
        </is>
      </c>
      <c r="B51" t="inlineStr">
        <is>
          <t>MONCAR</t>
        </is>
      </c>
      <c r="C51" t="inlineStr">
        <is>
          <t>MARTINS</t>
        </is>
      </c>
      <c r="D51" s="6" t="n">
        <v>0.22</v>
      </c>
      <c r="E51" s="1">
        <f>D51*$B$2</f>
        <v/>
      </c>
      <c r="F51" s="1" t="n">
        <v>5180</v>
      </c>
      <c r="G51" s="7">
        <f>IFERROR(1-E51/F51,"")</f>
        <v/>
      </c>
    </row>
    <row r="52">
      <c r="A52" t="inlineStr">
        <is>
          <t>CF 066</t>
        </is>
      </c>
      <c r="B52" t="inlineStr">
        <is>
          <t>MONCAR</t>
        </is>
      </c>
      <c r="C52" t="inlineStr">
        <is>
          <t>METABO</t>
        </is>
      </c>
      <c r="D52" s="6" t="n">
        <v>0.116</v>
      </c>
      <c r="E52" s="1">
        <f>D52*$B$2</f>
        <v/>
      </c>
      <c r="F52" s="1" t="n">
        <v>0</v>
      </c>
      <c r="G52" s="7">
        <f>IFERROR(1-E52/F52,"")</f>
        <v/>
      </c>
    </row>
    <row r="53">
      <c r="A53" t="inlineStr">
        <is>
          <t>CF 067</t>
        </is>
      </c>
      <c r="B53" t="inlineStr">
        <is>
          <t>MONCAR</t>
        </is>
      </c>
      <c r="C53" t="inlineStr">
        <is>
          <t>METABO</t>
        </is>
      </c>
      <c r="D53" s="6" t="n">
        <v>0.2</v>
      </c>
      <c r="E53" s="1">
        <f>D53*$B$2</f>
        <v/>
      </c>
      <c r="F53" s="1" t="n">
        <v>0</v>
      </c>
      <c r="G53" s="7">
        <f>IFERROR(1-E53/F53,"")</f>
        <v/>
      </c>
    </row>
    <row r="54">
      <c r="A54" t="inlineStr">
        <is>
          <t>CF 068</t>
        </is>
      </c>
      <c r="B54" t="inlineStr">
        <is>
          <t>MONCAR</t>
        </is>
      </c>
      <c r="C54" t="inlineStr">
        <is>
          <t>PEUGEOT</t>
        </is>
      </c>
      <c r="D54" s="6" t="n">
        <v>0.065</v>
      </c>
      <c r="E54" s="1">
        <f>D54*$B$2</f>
        <v/>
      </c>
      <c r="F54" s="1" t="n">
        <v>1640</v>
      </c>
      <c r="G54" s="7">
        <f>IFERROR(1-E54/F54,"")</f>
        <v/>
      </c>
    </row>
    <row r="55">
      <c r="A55" t="inlineStr">
        <is>
          <t>CF 069</t>
        </is>
      </c>
      <c r="B55" t="inlineStr">
        <is>
          <t>MONCAR</t>
        </is>
      </c>
      <c r="C55" t="inlineStr">
        <is>
          <t>PEUGEOT</t>
        </is>
      </c>
      <c r="D55" s="6" t="n">
        <v>0.07000000000000001</v>
      </c>
      <c r="E55" s="1">
        <f>D55*$B$2</f>
        <v/>
      </c>
      <c r="F55" s="1" t="n">
        <v>1760</v>
      </c>
      <c r="G55" s="7">
        <f>IFERROR(1-E55/F55,"")</f>
        <v/>
      </c>
    </row>
    <row r="56">
      <c r="A56" t="inlineStr">
        <is>
          <t>CF 070</t>
        </is>
      </c>
      <c r="B56" t="inlineStr">
        <is>
          <t>MONCAR</t>
        </is>
      </c>
      <c r="C56" t="inlineStr">
        <is>
          <t>PEUGEOT</t>
        </is>
      </c>
      <c r="D56" s="6" t="n">
        <v>0.215</v>
      </c>
      <c r="E56" s="1">
        <f>D56*$B$2</f>
        <v/>
      </c>
      <c r="F56" s="1" t="n">
        <v>0</v>
      </c>
      <c r="G56" s="7">
        <f>IFERROR(1-E56/F56,"")</f>
        <v/>
      </c>
    </row>
    <row r="57">
      <c r="A57" t="inlineStr">
        <is>
          <t>CF 094</t>
        </is>
      </c>
      <c r="B57" t="inlineStr">
        <is>
          <t>MONCAR</t>
        </is>
      </c>
      <c r="C57" t="inlineStr">
        <is>
          <t>SKIL</t>
        </is>
      </c>
      <c r="D57" s="6" t="n">
        <v>0.07000000000000001</v>
      </c>
      <c r="E57" s="1">
        <f>D57*$B$2</f>
        <v/>
      </c>
      <c r="F57" s="1" t="n">
        <v>1760</v>
      </c>
      <c r="G57" s="7">
        <f>IFERROR(1-E57/F57,"")</f>
        <v/>
      </c>
    </row>
    <row r="58">
      <c r="A58" t="inlineStr">
        <is>
          <t>CF 095</t>
        </is>
      </c>
      <c r="B58" t="inlineStr">
        <is>
          <t>MONCAR</t>
        </is>
      </c>
      <c r="C58" t="inlineStr">
        <is>
          <t>SKIL</t>
        </is>
      </c>
      <c r="D58" s="6" t="n">
        <v>0.08</v>
      </c>
      <c r="E58" s="1">
        <f>D58*$B$2</f>
        <v/>
      </c>
      <c r="F58" s="1" t="n">
        <v>2020</v>
      </c>
      <c r="G58" s="7">
        <f>IFERROR(1-E58/F58,"")</f>
        <v/>
      </c>
    </row>
    <row r="59">
      <c r="A59" t="inlineStr">
        <is>
          <t>CF 096</t>
        </is>
      </c>
      <c r="B59" t="inlineStr">
        <is>
          <t>MONCAR</t>
        </is>
      </c>
      <c r="C59" t="inlineStr">
        <is>
          <t>SKIL</t>
        </is>
      </c>
      <c r="D59" s="6" t="n">
        <v>0.08500000000000001</v>
      </c>
      <c r="E59" s="1">
        <f>D59*$B$2</f>
        <v/>
      </c>
      <c r="F59" s="1" t="n">
        <v>2130</v>
      </c>
      <c r="G59" s="7">
        <f>IFERROR(1-E59/F59,"")</f>
        <v/>
      </c>
    </row>
    <row r="60">
      <c r="A60" t="inlineStr">
        <is>
          <t>CF 097</t>
        </is>
      </c>
      <c r="B60" t="inlineStr">
        <is>
          <t>MONCAR</t>
        </is>
      </c>
      <c r="C60" t="inlineStr">
        <is>
          <t>STAYER</t>
        </is>
      </c>
      <c r="D60" s="6" t="n">
        <v>0.14</v>
      </c>
      <c r="E60" s="1">
        <f>D60*$B$2</f>
        <v/>
      </c>
      <c r="F60" s="1" t="n">
        <v>3540</v>
      </c>
      <c r="G60" s="7">
        <f>IFERROR(1-E60/F60,"")</f>
        <v/>
      </c>
    </row>
    <row r="61">
      <c r="A61" t="inlineStr">
        <is>
          <t>CF 098</t>
        </is>
      </c>
      <c r="B61" t="inlineStr">
        <is>
          <t>MONCAR</t>
        </is>
      </c>
      <c r="C61" t="inlineStr">
        <is>
          <t>STAYER</t>
        </is>
      </c>
      <c r="D61" s="6" t="n">
        <v>0.16</v>
      </c>
      <c r="E61" s="1">
        <f>D61*$B$2</f>
        <v/>
      </c>
      <c r="F61" s="1" t="n">
        <v>0</v>
      </c>
      <c r="G61" s="7">
        <f>IFERROR(1-E61/F61,"")</f>
        <v/>
      </c>
    </row>
    <row r="62">
      <c r="A62" t="inlineStr">
        <is>
          <t>CF 099</t>
        </is>
      </c>
      <c r="B62" t="inlineStr">
        <is>
          <t>MONCAR</t>
        </is>
      </c>
      <c r="C62" t="inlineStr">
        <is>
          <t>STAYER</t>
        </is>
      </c>
      <c r="D62" s="6" t="n">
        <v>0.21</v>
      </c>
      <c r="E62" s="1">
        <f>D62*$B$2</f>
        <v/>
      </c>
      <c r="F62" s="1" t="n">
        <v>0</v>
      </c>
      <c r="G62" s="7">
        <f>IFERROR(1-E62/F62,"")</f>
        <v/>
      </c>
    </row>
    <row r="63">
      <c r="A63" t="inlineStr">
        <is>
          <t>CF 100</t>
        </is>
      </c>
      <c r="B63" t="inlineStr">
        <is>
          <t>MONCAR</t>
        </is>
      </c>
      <c r="C63" t="inlineStr">
        <is>
          <t>STAYER</t>
        </is>
      </c>
      <c r="D63" s="6" t="n">
        <v>0.19</v>
      </c>
      <c r="E63" s="1">
        <f>D63*$B$2</f>
        <v/>
      </c>
      <c r="F63" s="1" t="n">
        <v>0</v>
      </c>
      <c r="G63" s="7">
        <f>IFERROR(1-E63/F63,"")</f>
        <v/>
      </c>
    </row>
    <row r="64">
      <c r="A64" t="inlineStr">
        <is>
          <t>CF 114</t>
        </is>
      </c>
      <c r="B64" t="inlineStr">
        <is>
          <t>MONCAR</t>
        </is>
      </c>
      <c r="C64" t="inlineStr">
        <is>
          <t>MAKITA</t>
        </is>
      </c>
      <c r="D64" s="6" t="n">
        <v>0.05</v>
      </c>
      <c r="E64" s="1">
        <f>D64*$B$2</f>
        <v/>
      </c>
      <c r="F64" s="1" t="n">
        <v>0</v>
      </c>
      <c r="G64" s="7">
        <f>IFERROR(1-E64/F64,"")</f>
        <v/>
      </c>
    </row>
    <row r="65">
      <c r="A65" t="inlineStr">
        <is>
          <t>CF 115</t>
        </is>
      </c>
      <c r="B65" t="inlineStr">
        <is>
          <t>MONCAR</t>
        </is>
      </c>
      <c r="C65" t="inlineStr">
        <is>
          <t>MAKITA</t>
        </is>
      </c>
      <c r="D65" s="6" t="n">
        <v>0.07000000000000001</v>
      </c>
      <c r="E65" s="1">
        <f>D65*$B$2</f>
        <v/>
      </c>
      <c r="F65" s="1" t="n">
        <v>0</v>
      </c>
      <c r="G65" s="7">
        <f>IFERROR(1-E65/F65,"")</f>
        <v/>
      </c>
    </row>
    <row r="66">
      <c r="A66" t="inlineStr">
        <is>
          <t>CF 116</t>
        </is>
      </c>
      <c r="B66" t="inlineStr">
        <is>
          <t>MONCAR</t>
        </is>
      </c>
      <c r="C66" t="inlineStr">
        <is>
          <t>MAKITA</t>
        </is>
      </c>
      <c r="D66" s="6" t="n">
        <v>0.094</v>
      </c>
      <c r="E66" s="1">
        <f>D66*$B$2</f>
        <v/>
      </c>
      <c r="F66" s="1" t="n">
        <v>0</v>
      </c>
      <c r="G66" s="7">
        <f>IFERROR(1-E66/F66,"")</f>
        <v/>
      </c>
    </row>
    <row r="67">
      <c r="A67" t="inlineStr">
        <is>
          <t>CF 118</t>
        </is>
      </c>
      <c r="B67" t="inlineStr">
        <is>
          <t>MONCAR</t>
        </is>
      </c>
      <c r="C67" t="inlineStr">
        <is>
          <t>METABO</t>
        </is>
      </c>
      <c r="D67" s="6" t="n">
        <v>0.08</v>
      </c>
      <c r="E67" s="1">
        <f>D67*$B$2</f>
        <v/>
      </c>
      <c r="F67" s="1" t="n">
        <v>0</v>
      </c>
      <c r="G67" s="7">
        <f>IFERROR(1-E67/F67,"")</f>
        <v/>
      </c>
    </row>
    <row r="68">
      <c r="A68" t="inlineStr">
        <is>
          <t>CF 119</t>
        </is>
      </c>
      <c r="B68" t="inlineStr">
        <is>
          <t>MONCAR</t>
        </is>
      </c>
      <c r="C68" t="inlineStr">
        <is>
          <t>METABO</t>
        </is>
      </c>
      <c r="D68" s="6" t="n">
        <v>0.11</v>
      </c>
      <c r="E68" s="1">
        <f>D68*$B$2</f>
        <v/>
      </c>
      <c r="F68" s="1" t="n">
        <v>2780</v>
      </c>
      <c r="G68" s="7">
        <f>IFERROR(1-E68/F68,"")</f>
        <v/>
      </c>
    </row>
    <row r="69">
      <c r="A69" t="inlineStr">
        <is>
          <t>CF 178</t>
        </is>
      </c>
      <c r="B69" t="inlineStr">
        <is>
          <t>MONCAR</t>
        </is>
      </c>
      <c r="C69" t="inlineStr">
        <is>
          <t>DE WALT</t>
        </is>
      </c>
      <c r="D69" s="6" t="n">
        <v>0.14</v>
      </c>
      <c r="E69" s="1">
        <f>D69*$B$2</f>
        <v/>
      </c>
      <c r="F69" s="1" t="n">
        <v>3540</v>
      </c>
      <c r="G69" s="7">
        <f>IFERROR(1-E69/F69,"")</f>
        <v/>
      </c>
    </row>
    <row r="70">
      <c r="A70" t="inlineStr">
        <is>
          <t>CF 179</t>
        </is>
      </c>
      <c r="B70" t="inlineStr">
        <is>
          <t>MONCAR</t>
        </is>
      </c>
      <c r="C70" t="inlineStr">
        <is>
          <t>DE WALT</t>
        </is>
      </c>
      <c r="D70" s="6" t="n">
        <v>0.1</v>
      </c>
      <c r="E70" s="1">
        <f>D70*$B$2</f>
        <v/>
      </c>
      <c r="F70" s="1" t="n">
        <v>2530</v>
      </c>
      <c r="G70" s="7">
        <f>IFERROR(1-E70/F70,"")</f>
        <v/>
      </c>
    </row>
    <row r="71">
      <c r="A71" t="inlineStr">
        <is>
          <t>CF 180</t>
        </is>
      </c>
      <c r="B71" t="inlineStr">
        <is>
          <t>MONCAR</t>
        </is>
      </c>
      <c r="C71" t="inlineStr">
        <is>
          <t>DE WALT</t>
        </is>
      </c>
      <c r="D71" s="6" t="n">
        <v>0.18</v>
      </c>
      <c r="E71" s="1">
        <f>D71*$B$2</f>
        <v/>
      </c>
      <c r="F71" s="1" t="n">
        <v>4550</v>
      </c>
      <c r="G71" s="7">
        <f>IFERROR(1-E71/F71,"")</f>
        <v/>
      </c>
    </row>
    <row r="72">
      <c r="A72" t="inlineStr">
        <is>
          <t>CF 181</t>
        </is>
      </c>
      <c r="B72" t="inlineStr">
        <is>
          <t>MONCAR</t>
        </is>
      </c>
      <c r="C72" t="inlineStr">
        <is>
          <t>DE WALT</t>
        </is>
      </c>
      <c r="D72" s="6" t="n">
        <v>0.16</v>
      </c>
      <c r="E72" s="1">
        <f>D72*$B$2</f>
        <v/>
      </c>
      <c r="F72" s="1" t="n">
        <v>3900</v>
      </c>
      <c r="G72" s="7">
        <f>IFERROR(1-E72/F72,"")</f>
        <v/>
      </c>
    </row>
    <row r="73">
      <c r="A73" t="inlineStr">
        <is>
          <t>CF 182</t>
        </is>
      </c>
      <c r="B73" t="inlineStr">
        <is>
          <t>MONCAR</t>
        </is>
      </c>
      <c r="C73" t="inlineStr">
        <is>
          <t>DE WALT</t>
        </is>
      </c>
      <c r="D73" s="6" t="n">
        <v>0.13</v>
      </c>
      <c r="E73" s="1">
        <f>D73*$B$2</f>
        <v/>
      </c>
      <c r="F73" s="1" t="n">
        <v>0</v>
      </c>
      <c r="G73" s="7">
        <f>IFERROR(1-E73/F73,"")</f>
        <v/>
      </c>
    </row>
    <row r="74">
      <c r="A74" t="inlineStr">
        <is>
          <t>CF 183</t>
        </is>
      </c>
      <c r="B74" t="inlineStr">
        <is>
          <t>MONCAR</t>
        </is>
      </c>
      <c r="C74" t="inlineStr">
        <is>
          <t>DE WALT</t>
        </is>
      </c>
      <c r="D74" s="6" t="n">
        <v>0.23</v>
      </c>
      <c r="E74" s="1">
        <f>D74*$B$2</f>
        <v/>
      </c>
      <c r="F74" s="1" t="n">
        <v>5830</v>
      </c>
      <c r="G74" s="7">
        <f>IFERROR(1-E74/F74,"")</f>
        <v/>
      </c>
    </row>
    <row r="75">
      <c r="A75" t="inlineStr">
        <is>
          <t>CF 184</t>
        </is>
      </c>
      <c r="B75" t="inlineStr">
        <is>
          <t>MONCAR</t>
        </is>
      </c>
      <c r="C75" t="inlineStr">
        <is>
          <t>DE WALT</t>
        </is>
      </c>
      <c r="D75" s="6" t="n">
        <v>0.14</v>
      </c>
      <c r="E75" s="1">
        <f>D75*$B$2</f>
        <v/>
      </c>
      <c r="F75" s="1" t="n">
        <v>3540</v>
      </c>
      <c r="G75" s="7">
        <f>IFERROR(1-E75/F75,"")</f>
        <v/>
      </c>
    </row>
    <row r="76">
      <c r="A76" t="inlineStr">
        <is>
          <t>CF 185</t>
        </is>
      </c>
      <c r="B76" t="inlineStr">
        <is>
          <t>MONCAR</t>
        </is>
      </c>
      <c r="C76" t="inlineStr">
        <is>
          <t>DE WALT</t>
        </is>
      </c>
      <c r="D76" s="6" t="n">
        <v>0.23</v>
      </c>
      <c r="E76" s="1">
        <f>D76*$B$2</f>
        <v/>
      </c>
      <c r="F76" s="1" t="n">
        <v>5310</v>
      </c>
      <c r="G76" s="7">
        <f>IFERROR(1-E76/F76,"")</f>
        <v/>
      </c>
    </row>
    <row r="77">
      <c r="A77" t="inlineStr">
        <is>
          <t>CF 186</t>
        </is>
      </c>
      <c r="B77" t="inlineStr">
        <is>
          <t>MONCAR</t>
        </is>
      </c>
      <c r="C77" t="inlineStr">
        <is>
          <t>DE WALT</t>
        </is>
      </c>
      <c r="D77" s="6" t="n">
        <v>0.192</v>
      </c>
      <c r="E77" s="1">
        <f>D77*$B$2</f>
        <v/>
      </c>
      <c r="F77" s="1" t="n">
        <v>0</v>
      </c>
      <c r="G77" s="7">
        <f>IFERROR(1-E77/F77,"")</f>
        <v/>
      </c>
    </row>
    <row r="78">
      <c r="A78" t="inlineStr">
        <is>
          <t>CF 187</t>
        </is>
      </c>
      <c r="B78" t="inlineStr">
        <is>
          <t>MONCAR</t>
        </is>
      </c>
      <c r="C78" t="inlineStr">
        <is>
          <t>DE WALT</t>
        </is>
      </c>
      <c r="D78" s="6" t="n">
        <v>0.157</v>
      </c>
      <c r="E78" s="1">
        <f>D78*$B$2</f>
        <v/>
      </c>
      <c r="F78" s="1" t="n">
        <v>0</v>
      </c>
      <c r="G78" s="7">
        <f>IFERROR(1-E78/F78,"")</f>
        <v/>
      </c>
    </row>
    <row r="79">
      <c r="A79" t="inlineStr">
        <is>
          <t>CF 188</t>
        </is>
      </c>
      <c r="B79" t="inlineStr">
        <is>
          <t>MONCAR</t>
        </is>
      </c>
      <c r="C79" t="inlineStr">
        <is>
          <t>DE WALT</t>
        </is>
      </c>
      <c r="D79" s="6" t="n">
        <v>0.116</v>
      </c>
      <c r="E79" s="1">
        <f>D79*$B$2</f>
        <v/>
      </c>
      <c r="F79" s="1" t="n">
        <v>0</v>
      </c>
      <c r="G79" s="7">
        <f>IFERROR(1-E79/F79,"")</f>
        <v/>
      </c>
    </row>
    <row r="80">
      <c r="A80" t="inlineStr">
        <is>
          <t>CF 189</t>
        </is>
      </c>
      <c r="B80" t="inlineStr">
        <is>
          <t>MONCAR</t>
        </is>
      </c>
      <c r="C80" t="inlineStr">
        <is>
          <t>DE WALT</t>
        </is>
      </c>
      <c r="D80" s="6" t="n">
        <v>0.11</v>
      </c>
      <c r="E80" s="1">
        <f>D80*$B$2</f>
        <v/>
      </c>
      <c r="F80" s="1" t="n">
        <v>0</v>
      </c>
      <c r="G80" s="7">
        <f>IFERROR(1-E80/F80,"")</f>
        <v/>
      </c>
    </row>
    <row r="81">
      <c r="A81" t="inlineStr">
        <is>
          <t>CF 190</t>
        </is>
      </c>
      <c r="B81" t="inlineStr">
        <is>
          <t>MONCAR</t>
        </is>
      </c>
      <c r="C81" t="inlineStr">
        <is>
          <t>DE WALT</t>
        </is>
      </c>
      <c r="D81" s="6" t="n">
        <v>0.139</v>
      </c>
      <c r="E81" s="1">
        <f>D81*$B$2</f>
        <v/>
      </c>
      <c r="F81" s="1" t="n">
        <v>0</v>
      </c>
      <c r="G81" s="7">
        <f>IFERROR(1-E81/F81,"")</f>
        <v/>
      </c>
    </row>
    <row r="82">
      <c r="A82" t="inlineStr">
        <is>
          <t>CF 191</t>
        </is>
      </c>
      <c r="B82" t="inlineStr">
        <is>
          <t>MONCAR</t>
        </is>
      </c>
      <c r="C82" t="inlineStr">
        <is>
          <t>DE WALT</t>
        </is>
      </c>
      <c r="D82" s="6" t="n">
        <v>0.17</v>
      </c>
      <c r="E82" s="1">
        <f>D82*$B$2</f>
        <v/>
      </c>
      <c r="F82" s="1" t="n">
        <v>0</v>
      </c>
      <c r="G82" s="7">
        <f>IFERROR(1-E82/F82,"")</f>
        <v/>
      </c>
    </row>
    <row r="83">
      <c r="A83" t="inlineStr">
        <is>
          <t>CF 192</t>
        </is>
      </c>
      <c r="B83" t="inlineStr">
        <is>
          <t>MONCAR</t>
        </is>
      </c>
      <c r="C83" t="inlineStr">
        <is>
          <t>DE WALT</t>
        </is>
      </c>
      <c r="D83" s="6" t="n">
        <v>0.12</v>
      </c>
      <c r="E83" s="1">
        <f>D83*$B$2</f>
        <v/>
      </c>
      <c r="F83" s="1" t="n">
        <v>0</v>
      </c>
      <c r="G83" s="7">
        <f>IFERROR(1-E83/F83,"")</f>
        <v/>
      </c>
    </row>
    <row r="84">
      <c r="A84" t="inlineStr">
        <is>
          <t>CF 193</t>
        </is>
      </c>
      <c r="B84" t="inlineStr">
        <is>
          <t>MONCAR</t>
        </is>
      </c>
      <c r="C84" t="inlineStr">
        <is>
          <t>DE WALT</t>
        </is>
      </c>
      <c r="D84" s="6" t="n">
        <v>0.116</v>
      </c>
      <c r="E84" s="1">
        <f>D84*$B$2</f>
        <v/>
      </c>
      <c r="F84" s="1" t="n">
        <v>0</v>
      </c>
      <c r="G84" s="7">
        <f>IFERROR(1-E84/F84,"")</f>
        <v/>
      </c>
    </row>
    <row r="85">
      <c r="A85" t="inlineStr">
        <is>
          <t>CF 194</t>
        </is>
      </c>
      <c r="B85" t="inlineStr">
        <is>
          <t>MONCAR</t>
        </is>
      </c>
      <c r="C85" t="inlineStr">
        <is>
          <t>DE WALT</t>
        </is>
      </c>
      <c r="D85" s="6" t="n">
        <v>0.22</v>
      </c>
      <c r="E85" s="1">
        <f>D85*$B$2</f>
        <v/>
      </c>
      <c r="F85" s="1" t="n">
        <v>4880</v>
      </c>
      <c r="G85" s="7">
        <f>IFERROR(1-E85/F85,"")</f>
        <v/>
      </c>
    </row>
    <row r="86">
      <c r="A86" t="inlineStr">
        <is>
          <t>CF 195</t>
        </is>
      </c>
      <c r="B86" t="inlineStr">
        <is>
          <t>MONCAR</t>
        </is>
      </c>
      <c r="C86" t="inlineStr">
        <is>
          <t>DE WALT</t>
        </is>
      </c>
      <c r="D86" s="6" t="n">
        <v>0.2</v>
      </c>
      <c r="E86" s="1">
        <f>D86*$B$2</f>
        <v/>
      </c>
      <c r="F86" s="1" t="n">
        <v>0</v>
      </c>
      <c r="G86" s="7">
        <f>IFERROR(1-E86/F86,"")</f>
        <v/>
      </c>
    </row>
    <row r="87">
      <c r="A87" t="inlineStr">
        <is>
          <t>CF 196</t>
        </is>
      </c>
      <c r="B87" t="inlineStr">
        <is>
          <t>MONCAR</t>
        </is>
      </c>
      <c r="C87" t="inlineStr">
        <is>
          <t>DE WALT</t>
        </is>
      </c>
      <c r="D87" s="6" t="n">
        <v>0.157</v>
      </c>
      <c r="E87" s="1">
        <f>D87*$B$2</f>
        <v/>
      </c>
      <c r="F87" s="1" t="n">
        <v>0</v>
      </c>
      <c r="G87" s="7">
        <f>IFERROR(1-E87/F87,"")</f>
        <v/>
      </c>
    </row>
    <row r="88">
      <c r="A88" t="inlineStr">
        <is>
          <t>CF 197</t>
        </is>
      </c>
      <c r="B88" t="inlineStr">
        <is>
          <t>MONCAR</t>
        </is>
      </c>
      <c r="C88" t="inlineStr">
        <is>
          <t>DE WALT</t>
        </is>
      </c>
      <c r="D88" s="6" t="n">
        <v>0.21</v>
      </c>
      <c r="E88" s="1">
        <f>D88*$B$2</f>
        <v/>
      </c>
      <c r="F88" s="1" t="n">
        <v>5530</v>
      </c>
      <c r="G88" s="7">
        <f>IFERROR(1-E88/F88,"")</f>
        <v/>
      </c>
    </row>
    <row r="89">
      <c r="A89" t="inlineStr">
        <is>
          <t>CF 198</t>
        </is>
      </c>
      <c r="B89" t="inlineStr">
        <is>
          <t>MONCAR</t>
        </is>
      </c>
      <c r="C89" t="inlineStr">
        <is>
          <t>DE WALT</t>
        </is>
      </c>
      <c r="D89" s="6" t="n">
        <v>0.22</v>
      </c>
      <c r="E89" s="1">
        <f>D89*$B$2</f>
        <v/>
      </c>
      <c r="F89" s="1" t="n">
        <v>5060</v>
      </c>
      <c r="G89" s="7">
        <f>IFERROR(1-E89/F89,"")</f>
        <v/>
      </c>
    </row>
    <row r="90">
      <c r="A90" t="inlineStr">
        <is>
          <t>CF 241</t>
        </is>
      </c>
      <c r="B90" t="inlineStr">
        <is>
          <t>MONCAR</t>
        </is>
      </c>
      <c r="C90" t="inlineStr">
        <is>
          <t>COBRA</t>
        </is>
      </c>
      <c r="D90" s="6" t="n">
        <v>0.1</v>
      </c>
      <c r="E90" s="1">
        <f>D90*$B$2</f>
        <v/>
      </c>
      <c r="F90" s="1" t="n">
        <v>2300</v>
      </c>
      <c r="G90" s="7">
        <f>IFERROR(1-E90/F90,"")</f>
        <v/>
      </c>
    </row>
    <row r="91">
      <c r="A91" t="inlineStr">
        <is>
          <t>CF 242</t>
        </is>
      </c>
      <c r="B91" t="inlineStr">
        <is>
          <t>MONCAR</t>
        </is>
      </c>
      <c r="C91" t="inlineStr">
        <is>
          <t>COBRA</t>
        </is>
      </c>
      <c r="D91" s="6" t="n">
        <v>0.2</v>
      </c>
      <c r="E91" s="1">
        <f>D91*$B$2</f>
        <v/>
      </c>
      <c r="F91" s="1" t="n">
        <v>4600</v>
      </c>
      <c r="G91" s="7">
        <f>IFERROR(1-E91/F91,"")</f>
        <v/>
      </c>
    </row>
    <row r="92">
      <c r="A92" t="inlineStr">
        <is>
          <t>CF 243</t>
        </is>
      </c>
      <c r="B92" t="inlineStr">
        <is>
          <t>MONCAR</t>
        </is>
      </c>
      <c r="C92" t="inlineStr">
        <is>
          <t>COBRA</t>
        </is>
      </c>
      <c r="D92" s="6" t="n">
        <v>0.21</v>
      </c>
      <c r="E92" s="1">
        <f>D92*$B$2</f>
        <v/>
      </c>
      <c r="F92" s="1" t="n">
        <v>4820</v>
      </c>
      <c r="G92" s="7">
        <f>IFERROR(1-E92/F92,"")</f>
        <v/>
      </c>
    </row>
    <row r="93">
      <c r="A93" t="inlineStr">
        <is>
          <t>CF 341</t>
        </is>
      </c>
      <c r="B93" t="inlineStr">
        <is>
          <t>MONCAR</t>
        </is>
      </c>
      <c r="C93" t="inlineStr">
        <is>
          <t>POWER TOOLS</t>
        </is>
      </c>
      <c r="D93" s="6" t="n">
        <v>0.11</v>
      </c>
      <c r="E93" s="1">
        <f>D93*$B$2</f>
        <v/>
      </c>
      <c r="F93" s="1" t="n">
        <v>2780</v>
      </c>
      <c r="G93" s="7">
        <f>IFERROR(1-E93/F93,"")</f>
        <v/>
      </c>
    </row>
    <row r="94">
      <c r="A94" t="inlineStr">
        <is>
          <t>CF 342</t>
        </is>
      </c>
      <c r="B94" t="inlineStr">
        <is>
          <t>MONCAR</t>
        </is>
      </c>
      <c r="C94" t="inlineStr">
        <is>
          <t>POWER TOOLS</t>
        </is>
      </c>
      <c r="D94" s="6" t="n">
        <v>0.11</v>
      </c>
      <c r="E94" s="1">
        <f>D94*$B$2</f>
        <v/>
      </c>
      <c r="F94" s="1" t="n">
        <v>2780</v>
      </c>
      <c r="G94" s="7">
        <f>IFERROR(1-E94/F94,"")</f>
        <v/>
      </c>
    </row>
    <row r="95">
      <c r="A95" t="inlineStr">
        <is>
          <t>CF 344</t>
        </is>
      </c>
      <c r="B95" t="inlineStr">
        <is>
          <t>MONCAR</t>
        </is>
      </c>
      <c r="C95" t="inlineStr">
        <is>
          <t>POWER TOOLS</t>
        </is>
      </c>
      <c r="D95" s="6" t="n">
        <v>0.093</v>
      </c>
      <c r="E95" s="1">
        <f>D95*$B$2</f>
        <v/>
      </c>
      <c r="F95" s="1" t="n">
        <v>2310</v>
      </c>
      <c r="G95" s="7">
        <f>IFERROR(1-E95/F95,"")</f>
        <v/>
      </c>
    </row>
    <row r="96">
      <c r="A96" t="inlineStr">
        <is>
          <t>CF 345</t>
        </is>
      </c>
      <c r="B96" t="inlineStr">
        <is>
          <t>MONCAR</t>
        </is>
      </c>
      <c r="C96" t="inlineStr">
        <is>
          <t>POWER TOOLS</t>
        </is>
      </c>
      <c r="D96" s="6" t="n">
        <v>0.18</v>
      </c>
      <c r="E96" s="1">
        <f>D96*$B$2</f>
        <v/>
      </c>
      <c r="F96" s="1" t="n">
        <v>5640</v>
      </c>
      <c r="G96" s="7">
        <f>IFERROR(1-E96/F96,"")</f>
        <v/>
      </c>
    </row>
    <row r="97">
      <c r="A97" t="inlineStr">
        <is>
          <t>CF 349</t>
        </is>
      </c>
      <c r="B97" t="inlineStr">
        <is>
          <t>MONCAR</t>
        </is>
      </c>
      <c r="C97" t="inlineStr">
        <is>
          <t>POWER TOOLS</t>
        </is>
      </c>
      <c r="D97" s="6" t="n">
        <v>0.1</v>
      </c>
      <c r="E97" s="1">
        <f>D97*$B$2</f>
        <v/>
      </c>
      <c r="F97" s="1" t="n">
        <v>2780</v>
      </c>
      <c r="G97" s="7">
        <f>IFERROR(1-E97/F97,"")</f>
        <v/>
      </c>
    </row>
    <row r="98">
      <c r="A98" t="inlineStr">
        <is>
          <t>CF 350</t>
        </is>
      </c>
      <c r="B98" t="inlineStr">
        <is>
          <t>MONCAR</t>
        </is>
      </c>
      <c r="C98" t="inlineStr">
        <is>
          <t>POWER TOOLS</t>
        </is>
      </c>
      <c r="D98" s="6" t="n">
        <v>0.1</v>
      </c>
      <c r="E98" s="1">
        <f>D98*$B$2</f>
        <v/>
      </c>
      <c r="F98" s="1" t="n">
        <v>2780</v>
      </c>
      <c r="G98" s="7">
        <f>IFERROR(1-E98/F98,"")</f>
        <v/>
      </c>
    </row>
    <row r="99">
      <c r="A99" t="inlineStr">
        <is>
          <t>CF 351</t>
        </is>
      </c>
      <c r="B99" t="inlineStr">
        <is>
          <t>MONCAR</t>
        </is>
      </c>
      <c r="C99" t="inlineStr">
        <is>
          <t>POWER TOOLS</t>
        </is>
      </c>
      <c r="D99" s="6" t="n">
        <v>0.22</v>
      </c>
      <c r="E99" s="1">
        <f>D99*$B$2</f>
        <v/>
      </c>
      <c r="F99" s="1" t="n">
        <v>5160</v>
      </c>
      <c r="G99" s="7">
        <f>IFERROR(1-E99/F99,"")</f>
        <v/>
      </c>
    </row>
    <row r="100">
      <c r="A100" t="inlineStr">
        <is>
          <t>CF 491</t>
        </is>
      </c>
      <c r="B100" t="inlineStr">
        <is>
          <t>MONCAR</t>
        </is>
      </c>
      <c r="C100" t="inlineStr">
        <is>
          <t>STINGRAY</t>
        </is>
      </c>
      <c r="D100" s="6" t="n">
        <v>0.22</v>
      </c>
      <c r="E100" s="1">
        <f>D100*$B$2</f>
        <v/>
      </c>
      <c r="F100" s="1" t="n">
        <v>5370</v>
      </c>
      <c r="G100" s="7">
        <f>IFERROR(1-E100/F100,"")</f>
        <v/>
      </c>
    </row>
    <row r="101">
      <c r="A101" t="inlineStr">
        <is>
          <t>CF 492</t>
        </is>
      </c>
      <c r="B101" t="inlineStr">
        <is>
          <t>MONCAR</t>
        </is>
      </c>
      <c r="C101" t="inlineStr">
        <is>
          <t>STINGRAY</t>
        </is>
      </c>
      <c r="D101" s="6" t="n">
        <v>0.23</v>
      </c>
      <c r="E101" s="1">
        <f>D101*$B$2</f>
        <v/>
      </c>
      <c r="F101" s="1" t="n">
        <v>5640</v>
      </c>
      <c r="G101" s="7">
        <f>IFERROR(1-E101/F101,"")</f>
        <v/>
      </c>
    </row>
    <row r="102">
      <c r="A102" t="inlineStr">
        <is>
          <t>CF 494</t>
        </is>
      </c>
      <c r="B102" t="inlineStr">
        <is>
          <t>MONCAR</t>
        </is>
      </c>
      <c r="C102" t="inlineStr">
        <is>
          <t>STINGRAY</t>
        </is>
      </c>
      <c r="D102" s="6" t="n">
        <v>0.22</v>
      </c>
      <c r="E102" s="1">
        <f>D102*$B$2</f>
        <v/>
      </c>
      <c r="F102" s="1" t="n">
        <v>5370</v>
      </c>
      <c r="G102" s="7">
        <f>IFERROR(1-E102/F102,"")</f>
        <v/>
      </c>
    </row>
    <row r="103">
      <c r="A103" t="inlineStr">
        <is>
          <t>CF 495</t>
        </is>
      </c>
      <c r="B103" t="inlineStr">
        <is>
          <t>MONCAR</t>
        </is>
      </c>
      <c r="C103" t="inlineStr">
        <is>
          <t>STINGRAY</t>
        </is>
      </c>
      <c r="D103" s="6" t="n">
        <v>0.1</v>
      </c>
      <c r="E103" s="1">
        <f>D103*$B$2</f>
        <v/>
      </c>
      <c r="F103" s="1" t="n">
        <v>2530</v>
      </c>
      <c r="G103" s="7">
        <f>IFERROR(1-E103/F103,"")</f>
        <v/>
      </c>
    </row>
    <row r="104">
      <c r="A104" t="inlineStr">
        <is>
          <t>CF 496</t>
        </is>
      </c>
      <c r="B104" t="inlineStr">
        <is>
          <t>MONCAR</t>
        </is>
      </c>
      <c r="C104" t="inlineStr">
        <is>
          <t>STINGRAY</t>
        </is>
      </c>
      <c r="D104" s="6" t="n">
        <v>0.08500000000000001</v>
      </c>
      <c r="E104" s="1">
        <f>D104*$B$2</f>
        <v/>
      </c>
      <c r="F104" s="1" t="n">
        <v>3760</v>
      </c>
      <c r="G104" s="7">
        <f>IFERROR(1-E104/F104,"")</f>
        <v/>
      </c>
    </row>
    <row r="105">
      <c r="A105" t="inlineStr">
        <is>
          <t>CF 497</t>
        </is>
      </c>
      <c r="B105" t="inlineStr">
        <is>
          <t>MONCAR</t>
        </is>
      </c>
      <c r="C105" t="inlineStr">
        <is>
          <t>STINGRAY</t>
        </is>
      </c>
      <c r="D105" s="6" t="n">
        <v>0.15</v>
      </c>
      <c r="E105" s="1">
        <f>D105*$B$2</f>
        <v/>
      </c>
      <c r="F105" s="1" t="n">
        <v>3760</v>
      </c>
      <c r="G105" s="7">
        <f>IFERROR(1-E105/F105,"")</f>
        <v/>
      </c>
    </row>
    <row r="106">
      <c r="A106" t="inlineStr">
        <is>
          <t>CF 498</t>
        </is>
      </c>
      <c r="B106" t="inlineStr">
        <is>
          <t>MONCAR</t>
        </is>
      </c>
      <c r="C106" t="inlineStr">
        <is>
          <t>STINGRAY</t>
        </is>
      </c>
      <c r="D106" s="6" t="n">
        <v>0.16</v>
      </c>
      <c r="E106" s="1">
        <f>D106*$B$2</f>
        <v/>
      </c>
      <c r="F106" s="1" t="n">
        <v>4100</v>
      </c>
      <c r="G106" s="7">
        <f>IFERROR(1-E106/F106,"")</f>
        <v/>
      </c>
    </row>
    <row r="107">
      <c r="A107" t="inlineStr">
        <is>
          <t>CF 500</t>
        </is>
      </c>
      <c r="B107" t="inlineStr">
        <is>
          <t>MONCAR</t>
        </is>
      </c>
      <c r="C107" t="inlineStr">
        <is>
          <t>STINGRAY</t>
        </is>
      </c>
      <c r="D107" s="6" t="n">
        <v>0.09</v>
      </c>
      <c r="E107" s="1">
        <f>D107*$B$2</f>
        <v/>
      </c>
      <c r="F107" s="1" t="n">
        <v>2250</v>
      </c>
      <c r="G107" s="7">
        <f>IFERROR(1-E107/F107,"")</f>
        <v/>
      </c>
    </row>
    <row r="108">
      <c r="A108" t="inlineStr">
        <is>
          <t>CF 550</t>
        </is>
      </c>
      <c r="B108" t="inlineStr">
        <is>
          <t>MONCAR</t>
        </is>
      </c>
      <c r="C108" t="inlineStr">
        <is>
          <t>MAKITA</t>
        </is>
      </c>
      <c r="D108" s="6" t="n">
        <v>0.14</v>
      </c>
      <c r="E108" s="1">
        <f>D108*$B$2</f>
        <v/>
      </c>
      <c r="F108" s="1" t="n">
        <v>3540</v>
      </c>
      <c r="G108" s="7">
        <f>IFERROR(1-E108/F108,"")</f>
        <v/>
      </c>
    </row>
    <row r="109">
      <c r="A109" t="inlineStr">
        <is>
          <t>CF 552</t>
        </is>
      </c>
      <c r="B109" t="inlineStr">
        <is>
          <t>MONCAR</t>
        </is>
      </c>
      <c r="C109" t="inlineStr">
        <is>
          <t>MAKITA</t>
        </is>
      </c>
      <c r="D109" s="6" t="n">
        <v>0.13</v>
      </c>
      <c r="E109" s="1">
        <f>D109*$B$2</f>
        <v/>
      </c>
      <c r="F109" s="1" t="n">
        <v>3050</v>
      </c>
      <c r="G109" s="7">
        <f>IFERROR(1-E109/F109,"")</f>
        <v/>
      </c>
    </row>
    <row r="110">
      <c r="A110" t="inlineStr">
        <is>
          <t>CF 556</t>
        </is>
      </c>
      <c r="B110" t="inlineStr">
        <is>
          <t>MONCAR</t>
        </is>
      </c>
      <c r="C110" t="inlineStr">
        <is>
          <t>MAKITA</t>
        </is>
      </c>
      <c r="D110" s="6" t="n">
        <v>0.16</v>
      </c>
      <c r="E110" s="1">
        <f>D110*$B$2</f>
        <v/>
      </c>
      <c r="F110" s="1" t="n">
        <v>4070</v>
      </c>
      <c r="G110" s="7">
        <f>IFERROR(1-E110/F110,"")</f>
        <v/>
      </c>
    </row>
    <row r="111">
      <c r="A111" t="inlineStr">
        <is>
          <t>CF 557</t>
        </is>
      </c>
      <c r="B111" t="inlineStr">
        <is>
          <t>MONCAR</t>
        </is>
      </c>
      <c r="C111" t="inlineStr">
        <is>
          <t>BLACK &amp; DECKER</t>
        </is>
      </c>
      <c r="D111" s="6" t="n">
        <v>0.1</v>
      </c>
      <c r="E111" s="1">
        <f>D111*$B$2</f>
        <v/>
      </c>
      <c r="F111" s="1" t="n">
        <v>2530</v>
      </c>
      <c r="G111" s="7">
        <f>IFERROR(1-E111/F111,"")</f>
        <v/>
      </c>
    </row>
    <row r="112">
      <c r="A112" t="inlineStr">
        <is>
          <t>CF 558</t>
        </is>
      </c>
      <c r="B112" t="inlineStr">
        <is>
          <t>MONCAR</t>
        </is>
      </c>
      <c r="C112" t="inlineStr">
        <is>
          <t>BLACK &amp; DECKER</t>
        </is>
      </c>
      <c r="D112" s="6" t="n">
        <v>0.14</v>
      </c>
      <c r="E112" s="1">
        <f>D112*$B$2</f>
        <v/>
      </c>
      <c r="F112" s="1" t="n">
        <v>3540</v>
      </c>
      <c r="G112" s="7">
        <f>IFERROR(1-E112/F112,"")</f>
        <v/>
      </c>
    </row>
    <row r="113">
      <c r="A113" t="inlineStr">
        <is>
          <t>CF 559</t>
        </is>
      </c>
      <c r="B113" t="inlineStr">
        <is>
          <t>MONCAR</t>
        </is>
      </c>
      <c r="C113" t="inlineStr">
        <is>
          <t>BLACK &amp; DECKER</t>
        </is>
      </c>
      <c r="D113" s="6" t="n">
        <v>0.17</v>
      </c>
      <c r="E113" s="1">
        <f>D113*$B$2</f>
        <v/>
      </c>
      <c r="F113" s="1" t="n">
        <v>4280</v>
      </c>
      <c r="G113" s="7">
        <f>IFERROR(1-E113/F113,"")</f>
        <v/>
      </c>
    </row>
    <row r="114">
      <c r="A114" t="inlineStr">
        <is>
          <t>CF 560</t>
        </is>
      </c>
      <c r="B114" t="inlineStr">
        <is>
          <t>MONCAR</t>
        </is>
      </c>
      <c r="C114" t="inlineStr">
        <is>
          <t>BLACK &amp; DECKER</t>
        </is>
      </c>
      <c r="D114" s="6" t="n">
        <v>0.21</v>
      </c>
      <c r="E114" s="1">
        <f>D114*$B$2</f>
        <v/>
      </c>
      <c r="F114" s="1" t="n">
        <v>5300</v>
      </c>
      <c r="G114" s="7">
        <f>IFERROR(1-E114/F114,"")</f>
        <v/>
      </c>
    </row>
    <row r="115">
      <c r="A115" t="inlineStr">
        <is>
          <t>CF 585</t>
        </is>
      </c>
      <c r="B115" t="inlineStr">
        <is>
          <t>MONCAR</t>
        </is>
      </c>
      <c r="C115" t="inlineStr">
        <is>
          <t>ADIABATIC</t>
        </is>
      </c>
      <c r="D115" s="6" t="n">
        <v>0.24</v>
      </c>
      <c r="E115" s="1">
        <f>D115*$B$2</f>
        <v/>
      </c>
      <c r="F115" s="1" t="n">
        <v>6050</v>
      </c>
      <c r="G115" s="7">
        <f>IFERROR(1-E115/F115,"")</f>
        <v/>
      </c>
    </row>
    <row r="116">
      <c r="A116" t="inlineStr">
        <is>
          <t>CF 590</t>
        </is>
      </c>
      <c r="B116" t="inlineStr">
        <is>
          <t>MONCAR</t>
        </is>
      </c>
      <c r="C116" t="inlineStr">
        <is>
          <t>ADIABATIC</t>
        </is>
      </c>
      <c r="D116" s="6" t="n">
        <v>0.14</v>
      </c>
      <c r="E116" s="1">
        <f>D116*$B$2</f>
        <v/>
      </c>
      <c r="F116" s="1" t="n">
        <v>3540</v>
      </c>
      <c r="G116" s="7">
        <f>IFERROR(1-E116/F116,"")</f>
        <v/>
      </c>
    </row>
    <row r="117">
      <c r="A117" t="inlineStr">
        <is>
          <t>CF 600</t>
        </is>
      </c>
      <c r="B117" t="inlineStr">
        <is>
          <t>MONCAR</t>
        </is>
      </c>
      <c r="C117" t="inlineStr">
        <is>
          <t>BLACK &amp; DECKER</t>
        </is>
      </c>
      <c r="D117" s="6" t="n">
        <v>0.2</v>
      </c>
      <c r="E117" s="1">
        <f>D117*$B$2</f>
        <v/>
      </c>
      <c r="F117" s="1" t="n">
        <v>5060</v>
      </c>
      <c r="G117" s="7">
        <f>IFERROR(1-E117/F117,"")</f>
        <v/>
      </c>
    </row>
    <row r="118">
      <c r="A118" t="inlineStr">
        <is>
          <t>CF 601</t>
        </is>
      </c>
      <c r="B118" t="inlineStr">
        <is>
          <t>MONCAR</t>
        </is>
      </c>
      <c r="C118" t="inlineStr">
        <is>
          <t>BLACK &amp; DECKER</t>
        </is>
      </c>
      <c r="D118" s="6" t="n">
        <v>0.11</v>
      </c>
      <c r="E118" s="1">
        <f>D118*$B$2</f>
        <v/>
      </c>
      <c r="F118" s="1" t="n">
        <v>2780</v>
      </c>
      <c r="G118" s="7">
        <f>IFERROR(1-E118/F118,"")</f>
        <v/>
      </c>
    </row>
    <row r="119">
      <c r="A119" t="inlineStr">
        <is>
          <t>CF 603</t>
        </is>
      </c>
      <c r="B119" t="inlineStr">
        <is>
          <t>MONCAR</t>
        </is>
      </c>
      <c r="C119" t="inlineStr">
        <is>
          <t>BLACK &amp; DECKER</t>
        </is>
      </c>
      <c r="D119" s="6" t="n">
        <v>0.15</v>
      </c>
      <c r="E119" s="1">
        <f>D119*$B$2</f>
        <v/>
      </c>
      <c r="F119" s="1" t="n">
        <v>3760</v>
      </c>
      <c r="G119" s="7">
        <f>IFERROR(1-E119/F119,"")</f>
        <v/>
      </c>
    </row>
    <row r="120">
      <c r="A120" t="inlineStr">
        <is>
          <t>CF 604</t>
        </is>
      </c>
      <c r="B120" t="inlineStr">
        <is>
          <t>MONCAR</t>
        </is>
      </c>
      <c r="C120" t="inlineStr">
        <is>
          <t>BLACK &amp; DECKER</t>
        </is>
      </c>
      <c r="D120" s="6" t="n">
        <v>0.22</v>
      </c>
      <c r="E120" s="1">
        <f>D120*$B$2</f>
        <v/>
      </c>
      <c r="F120" s="1" t="n">
        <v>5640</v>
      </c>
      <c r="G120" s="7">
        <f>IFERROR(1-E120/F120,"")</f>
        <v/>
      </c>
    </row>
    <row r="121">
      <c r="A121" t="inlineStr">
        <is>
          <t>CF 608</t>
        </is>
      </c>
      <c r="B121" t="inlineStr">
        <is>
          <t>MONCAR</t>
        </is>
      </c>
      <c r="C121" t="inlineStr">
        <is>
          <t>BLACK &amp; DECKER</t>
        </is>
      </c>
      <c r="D121" s="6" t="n">
        <v>0.14</v>
      </c>
      <c r="E121" s="1">
        <f>D121*$B$2</f>
        <v/>
      </c>
      <c r="F121" s="1" t="n">
        <v>3540</v>
      </c>
      <c r="G121" s="7">
        <f>IFERROR(1-E121/F121,"")</f>
        <v/>
      </c>
    </row>
    <row r="122">
      <c r="A122" t="inlineStr">
        <is>
          <t>CF 609</t>
        </is>
      </c>
      <c r="B122" t="inlineStr">
        <is>
          <t>MONCAR</t>
        </is>
      </c>
      <c r="C122" t="inlineStr">
        <is>
          <t>BOSCH</t>
        </is>
      </c>
      <c r="D122" s="6" t="n">
        <v>0.21</v>
      </c>
      <c r="E122" s="1">
        <f>D122*$B$2</f>
        <v/>
      </c>
      <c r="F122" s="1" t="n">
        <v>5300</v>
      </c>
      <c r="G122" s="7">
        <f>IFERROR(1-E122/F122,"")</f>
        <v/>
      </c>
    </row>
    <row r="123">
      <c r="A123" t="inlineStr">
        <is>
          <t>CF 610</t>
        </is>
      </c>
      <c r="B123" t="inlineStr">
        <is>
          <t>MONCAR</t>
        </is>
      </c>
      <c r="C123" t="inlineStr">
        <is>
          <t>BOSCH</t>
        </is>
      </c>
      <c r="D123" s="6" t="n">
        <v>0.22</v>
      </c>
      <c r="E123" s="1">
        <f>D123*$B$2</f>
        <v/>
      </c>
      <c r="F123" s="1" t="n">
        <v>5640</v>
      </c>
      <c r="G123" s="7">
        <f>IFERROR(1-E123/F123,"")</f>
        <v/>
      </c>
    </row>
    <row r="124">
      <c r="A124" t="inlineStr">
        <is>
          <t>CF 611</t>
        </is>
      </c>
      <c r="B124" t="inlineStr">
        <is>
          <t>MONCAR</t>
        </is>
      </c>
      <c r="C124" t="inlineStr">
        <is>
          <t>BOSCH</t>
        </is>
      </c>
      <c r="D124" s="6" t="n">
        <v>0.24</v>
      </c>
      <c r="E124" s="1">
        <f>D124*$B$2</f>
        <v/>
      </c>
      <c r="F124" s="1" t="n">
        <v>0</v>
      </c>
      <c r="G124" s="7">
        <f>IFERROR(1-E124/F124,"")</f>
        <v/>
      </c>
    </row>
    <row r="125">
      <c r="A125" t="inlineStr">
        <is>
          <t>CF 612</t>
        </is>
      </c>
      <c r="B125" t="inlineStr">
        <is>
          <t>MONCAR</t>
        </is>
      </c>
      <c r="C125" t="inlineStr">
        <is>
          <t>BOSCH</t>
        </is>
      </c>
      <c r="D125" s="6" t="n">
        <v>0.17</v>
      </c>
      <c r="E125" s="1">
        <f>D125*$B$2</f>
        <v/>
      </c>
      <c r="F125" s="1" t="n">
        <v>4070</v>
      </c>
      <c r="G125" s="7">
        <f>IFERROR(1-E125/F125,"")</f>
        <v/>
      </c>
    </row>
    <row r="126">
      <c r="A126" t="inlineStr">
        <is>
          <t>CF 613</t>
        </is>
      </c>
      <c r="B126" t="inlineStr">
        <is>
          <t>MONCAR</t>
        </is>
      </c>
      <c r="C126" t="inlineStr">
        <is>
          <t>BOSCH</t>
        </is>
      </c>
      <c r="D126" s="6" t="n">
        <v>0.227</v>
      </c>
      <c r="E126" s="1">
        <f>D126*$B$2</f>
        <v/>
      </c>
      <c r="F126" s="1" t="n">
        <v>5730</v>
      </c>
      <c r="G126" s="7">
        <f>IFERROR(1-E126/F126,"")</f>
        <v/>
      </c>
    </row>
    <row r="127">
      <c r="A127" t="inlineStr">
        <is>
          <t>CF 614</t>
        </is>
      </c>
      <c r="B127" t="inlineStr">
        <is>
          <t>MONCAR</t>
        </is>
      </c>
      <c r="C127" t="inlineStr">
        <is>
          <t>BOSCH</t>
        </is>
      </c>
      <c r="D127" s="6" t="n">
        <v>0.16</v>
      </c>
      <c r="E127" s="1">
        <f>D127*$B$2</f>
        <v/>
      </c>
      <c r="F127" s="1" t="n">
        <v>4070</v>
      </c>
      <c r="G127" s="7">
        <f>IFERROR(1-E127/F127,"")</f>
        <v/>
      </c>
    </row>
    <row r="128">
      <c r="A128" t="inlineStr">
        <is>
          <t>CF 615</t>
        </is>
      </c>
      <c r="B128" t="inlineStr">
        <is>
          <t>MONCAR</t>
        </is>
      </c>
      <c r="C128" t="inlineStr">
        <is>
          <t>BOSCH</t>
        </is>
      </c>
      <c r="D128" s="6" t="n">
        <v>0.14</v>
      </c>
      <c r="E128" s="1">
        <f>D128*$B$2</f>
        <v/>
      </c>
      <c r="F128" s="1" t="n">
        <v>3540</v>
      </c>
      <c r="G128" s="7">
        <f>IFERROR(1-E128/F128,"")</f>
        <v/>
      </c>
    </row>
    <row r="129">
      <c r="A129" t="inlineStr">
        <is>
          <t>CF 616</t>
        </is>
      </c>
      <c r="B129" t="inlineStr">
        <is>
          <t>MONCAR</t>
        </is>
      </c>
      <c r="C129" t="inlineStr">
        <is>
          <t>BOSCH</t>
        </is>
      </c>
      <c r="D129" s="6" t="n">
        <v>0.14</v>
      </c>
      <c r="E129" s="1">
        <f>D129*$B$2</f>
        <v/>
      </c>
      <c r="F129" s="1" t="n">
        <v>3540</v>
      </c>
      <c r="G129" s="7">
        <f>IFERROR(1-E129/F129,"")</f>
        <v/>
      </c>
    </row>
    <row r="130">
      <c r="A130" t="inlineStr">
        <is>
          <t>CF 617</t>
        </is>
      </c>
      <c r="B130" t="inlineStr">
        <is>
          <t>MONCAR</t>
        </is>
      </c>
      <c r="C130" t="inlineStr">
        <is>
          <t>DE WALT</t>
        </is>
      </c>
      <c r="D130" s="6" t="n">
        <v>0.12</v>
      </c>
      <c r="E130" s="1">
        <f>D130*$B$2</f>
        <v/>
      </c>
      <c r="F130" s="1" t="n">
        <v>3050</v>
      </c>
      <c r="G130" s="7">
        <f>IFERROR(1-E130/F130,"")</f>
        <v/>
      </c>
    </row>
    <row r="131">
      <c r="A131" t="inlineStr">
        <is>
          <t>CF 618</t>
        </is>
      </c>
      <c r="B131" t="inlineStr">
        <is>
          <t>MONCAR</t>
        </is>
      </c>
      <c r="C131" t="inlineStr">
        <is>
          <t>DE WALT</t>
        </is>
      </c>
      <c r="D131" s="6" t="n">
        <v>0.16</v>
      </c>
      <c r="E131" s="1">
        <f>D131*$B$2</f>
        <v/>
      </c>
      <c r="F131" s="1" t="n">
        <v>0</v>
      </c>
      <c r="G131" s="7">
        <f>IFERROR(1-E131/F131,"")</f>
        <v/>
      </c>
    </row>
    <row r="132">
      <c r="A132" t="inlineStr">
        <is>
          <t>CF 619</t>
        </is>
      </c>
      <c r="B132" t="inlineStr">
        <is>
          <t>MONCAR</t>
        </is>
      </c>
      <c r="C132" t="inlineStr">
        <is>
          <t>DE WALT</t>
        </is>
      </c>
      <c r="D132" s="6" t="n">
        <v>0.17</v>
      </c>
      <c r="E132" s="1">
        <f>D132*$B$2</f>
        <v/>
      </c>
      <c r="F132" s="1" t="n">
        <v>0</v>
      </c>
      <c r="G132" s="7">
        <f>IFERROR(1-E132/F132,"")</f>
        <v/>
      </c>
    </row>
    <row r="133">
      <c r="A133" t="inlineStr">
        <is>
          <t>CF 621</t>
        </is>
      </c>
      <c r="B133" t="inlineStr">
        <is>
          <t>MONCAR</t>
        </is>
      </c>
      <c r="C133" t="inlineStr">
        <is>
          <t>DE WALT</t>
        </is>
      </c>
      <c r="D133" s="6" t="n">
        <v>0.12</v>
      </c>
      <c r="E133" s="1">
        <f>D133*$B$2</f>
        <v/>
      </c>
      <c r="F133" s="1" t="n">
        <v>0</v>
      </c>
      <c r="G133" s="7">
        <f>IFERROR(1-E133/F133,"")</f>
        <v/>
      </c>
    </row>
    <row r="134">
      <c r="A134" t="inlineStr">
        <is>
          <t>CF 622</t>
        </is>
      </c>
      <c r="B134" t="inlineStr">
        <is>
          <t>MONCAR</t>
        </is>
      </c>
      <c r="C134" t="inlineStr">
        <is>
          <t>DE WALT</t>
        </is>
      </c>
      <c r="D134" s="6" t="n">
        <v>0.16</v>
      </c>
      <c r="E134" s="1">
        <f>D134*$B$2</f>
        <v/>
      </c>
      <c r="F134" s="1" t="n">
        <v>0</v>
      </c>
      <c r="G134" s="7">
        <f>IFERROR(1-E134/F134,"")</f>
        <v/>
      </c>
    </row>
    <row r="135">
      <c r="A135" t="inlineStr">
        <is>
          <t>CF 634</t>
        </is>
      </c>
      <c r="B135" t="inlineStr">
        <is>
          <t>MONCAR</t>
        </is>
      </c>
      <c r="C135" t="inlineStr">
        <is>
          <t>MAKITA</t>
        </is>
      </c>
      <c r="D135" s="6" t="n">
        <v>0.1</v>
      </c>
      <c r="E135" s="1">
        <f>D135*$B$2</f>
        <v/>
      </c>
      <c r="F135" s="1" t="n">
        <v>0</v>
      </c>
      <c r="G135" s="7">
        <f>IFERROR(1-E135/F135,"")</f>
        <v/>
      </c>
    </row>
    <row r="136">
      <c r="A136" t="inlineStr">
        <is>
          <t>CF 635</t>
        </is>
      </c>
      <c r="B136" t="inlineStr">
        <is>
          <t>MONCAR</t>
        </is>
      </c>
      <c r="C136" t="inlineStr">
        <is>
          <t>MAKITA</t>
        </is>
      </c>
      <c r="D136" s="6" t="n">
        <v>0.07000000000000001</v>
      </c>
      <c r="E136" s="1">
        <f>D136*$B$2</f>
        <v/>
      </c>
      <c r="F136" s="1" t="n">
        <v>0</v>
      </c>
      <c r="G136" s="7">
        <f>IFERROR(1-E136/F136,"")</f>
        <v/>
      </c>
    </row>
    <row r="137">
      <c r="A137" t="inlineStr">
        <is>
          <t>CF 636</t>
        </is>
      </c>
      <c r="B137" t="inlineStr">
        <is>
          <t>MONCAR</t>
        </is>
      </c>
      <c r="C137" t="inlineStr">
        <is>
          <t>METABO</t>
        </is>
      </c>
      <c r="D137" s="6" t="n">
        <v>0.07000000000000001</v>
      </c>
      <c r="E137" s="1">
        <f>D137*$B$2</f>
        <v/>
      </c>
      <c r="F137" s="1" t="n">
        <v>0</v>
      </c>
      <c r="G137" s="7">
        <f>IFERROR(1-E137/F137,"")</f>
        <v/>
      </c>
    </row>
    <row r="138">
      <c r="A138" t="inlineStr">
        <is>
          <t>CF 638</t>
        </is>
      </c>
      <c r="B138" t="inlineStr">
        <is>
          <t>MONCAR</t>
        </is>
      </c>
      <c r="C138" t="inlineStr">
        <is>
          <t>METABO</t>
        </is>
      </c>
      <c r="D138" s="6" t="n">
        <v>0.09</v>
      </c>
      <c r="E138" s="1">
        <f>D138*$B$2</f>
        <v/>
      </c>
      <c r="F138" s="1" t="n">
        <v>2250</v>
      </c>
      <c r="G138" s="7">
        <f>IFERROR(1-E138/F138,"")</f>
        <v/>
      </c>
    </row>
    <row r="139">
      <c r="A139" t="inlineStr">
        <is>
          <t>CF 639</t>
        </is>
      </c>
      <c r="B139" t="inlineStr">
        <is>
          <t>MONCAR</t>
        </is>
      </c>
      <c r="C139" t="inlineStr">
        <is>
          <t>METABO</t>
        </is>
      </c>
      <c r="D139" s="6" t="n">
        <v>0.105</v>
      </c>
      <c r="E139" s="1">
        <f>D139*$B$2</f>
        <v/>
      </c>
      <c r="F139" s="1" t="n">
        <v>0</v>
      </c>
      <c r="G139" s="7">
        <f>IFERROR(1-E139/F139,"")</f>
        <v/>
      </c>
    </row>
    <row r="140">
      <c r="A140" t="inlineStr">
        <is>
          <t>CF 640</t>
        </is>
      </c>
      <c r="B140" t="inlineStr">
        <is>
          <t>MONCAR</t>
        </is>
      </c>
      <c r="C140" t="inlineStr">
        <is>
          <t>METABO</t>
        </is>
      </c>
      <c r="D140" s="6" t="n">
        <v>0.18</v>
      </c>
      <c r="E140" s="1">
        <f>D140*$B$2</f>
        <v/>
      </c>
      <c r="F140" s="1" t="n">
        <v>0</v>
      </c>
      <c r="G140" s="7">
        <f>IFERROR(1-E140/F140,"")</f>
        <v/>
      </c>
    </row>
    <row r="141">
      <c r="A141" t="inlineStr">
        <is>
          <t>CF 643</t>
        </is>
      </c>
      <c r="B141" t="inlineStr">
        <is>
          <t>MONCAR</t>
        </is>
      </c>
      <c r="C141" t="inlineStr">
        <is>
          <t>METABO</t>
        </is>
      </c>
      <c r="D141" s="6" t="n">
        <v>0.13</v>
      </c>
      <c r="E141" s="1">
        <f>D141*$B$2</f>
        <v/>
      </c>
      <c r="F141" s="1" t="n">
        <v>0</v>
      </c>
      <c r="G141" s="7">
        <f>IFERROR(1-E141/F141,"")</f>
        <v/>
      </c>
    </row>
    <row r="142">
      <c r="A142" t="inlineStr">
        <is>
          <t>CF 644</t>
        </is>
      </c>
      <c r="B142" t="inlineStr">
        <is>
          <t>MONCAR</t>
        </is>
      </c>
      <c r="C142" t="inlineStr">
        <is>
          <t>METABO</t>
        </is>
      </c>
      <c r="D142" s="6" t="n">
        <v>0.239</v>
      </c>
      <c r="E142" s="1">
        <f>D142*$B$2</f>
        <v/>
      </c>
      <c r="F142" s="1" t="n">
        <v>0</v>
      </c>
      <c r="G142" s="7">
        <f>IFERROR(1-E142/F142,"")</f>
        <v/>
      </c>
    </row>
    <row r="143">
      <c r="A143" t="inlineStr">
        <is>
          <t>CF 653</t>
        </is>
      </c>
      <c r="B143" t="inlineStr">
        <is>
          <t>MONCAR</t>
        </is>
      </c>
      <c r="C143" t="inlineStr">
        <is>
          <t>SKIL</t>
        </is>
      </c>
      <c r="D143" s="6" t="n">
        <v>0.23</v>
      </c>
      <c r="E143" s="1">
        <f>D143*$B$2</f>
        <v/>
      </c>
      <c r="F143" s="1" t="n">
        <v>5640</v>
      </c>
      <c r="G143" s="7">
        <f>IFERROR(1-E143/F143,"")</f>
        <v/>
      </c>
    </row>
    <row r="144">
      <c r="A144" t="inlineStr">
        <is>
          <t>CF 654</t>
        </is>
      </c>
      <c r="B144" t="inlineStr">
        <is>
          <t>MONCAR</t>
        </is>
      </c>
      <c r="C144" t="inlineStr">
        <is>
          <t>SKIL</t>
        </is>
      </c>
      <c r="D144" s="6" t="n">
        <v>0.09</v>
      </c>
      <c r="E144" s="1">
        <f>D144*$B$2</f>
        <v/>
      </c>
      <c r="F144" s="1" t="n">
        <v>2250</v>
      </c>
      <c r="G144" s="7">
        <f>IFERROR(1-E144/F144,"")</f>
        <v/>
      </c>
    </row>
    <row r="145">
      <c r="A145" t="inlineStr">
        <is>
          <t>CF 655</t>
        </is>
      </c>
      <c r="B145" t="inlineStr">
        <is>
          <t>MONCAR</t>
        </is>
      </c>
      <c r="C145" t="inlineStr">
        <is>
          <t>SKIL</t>
        </is>
      </c>
      <c r="D145" s="6" t="n">
        <v>0.11</v>
      </c>
      <c r="E145" s="1">
        <f>D145*$B$2</f>
        <v/>
      </c>
      <c r="F145" s="1" t="n">
        <v>2780</v>
      </c>
      <c r="G145" s="7">
        <f>IFERROR(1-E145/F145,"")</f>
        <v/>
      </c>
    </row>
    <row r="146">
      <c r="A146" t="inlineStr">
        <is>
          <t>CF 657</t>
        </is>
      </c>
      <c r="B146" t="inlineStr">
        <is>
          <t>MONCAR</t>
        </is>
      </c>
      <c r="C146" t="inlineStr">
        <is>
          <t>SKIL</t>
        </is>
      </c>
      <c r="D146" s="6" t="n">
        <v>0.22</v>
      </c>
      <c r="E146" s="1">
        <f>D146*$B$2</f>
        <v/>
      </c>
      <c r="F146" s="1" t="n">
        <v>5530</v>
      </c>
      <c r="G146" s="7">
        <f>IFERROR(1-E146/F146,"")</f>
        <v/>
      </c>
    </row>
    <row r="147">
      <c r="A147" t="inlineStr">
        <is>
          <t>CF 658</t>
        </is>
      </c>
      <c r="B147" t="inlineStr">
        <is>
          <t>MONCAR</t>
        </is>
      </c>
      <c r="C147" t="inlineStr">
        <is>
          <t>SKIL</t>
        </is>
      </c>
      <c r="D147" s="6" t="n">
        <v>0.11</v>
      </c>
      <c r="E147" s="1">
        <f>D147*$B$2</f>
        <v/>
      </c>
      <c r="F147" s="1" t="n">
        <v>2780</v>
      </c>
      <c r="G147" s="7">
        <f>IFERROR(1-E147/F147,"")</f>
        <v/>
      </c>
    </row>
    <row r="148">
      <c r="A148" t="inlineStr">
        <is>
          <t>CF 659</t>
        </is>
      </c>
      <c r="B148" t="inlineStr">
        <is>
          <t>MONCAR</t>
        </is>
      </c>
      <c r="C148" t="inlineStr">
        <is>
          <t>SKIL</t>
        </is>
      </c>
      <c r="D148" s="6" t="n">
        <v>0.11</v>
      </c>
      <c r="E148" s="1">
        <f>D148*$B$2</f>
        <v/>
      </c>
      <c r="F148" s="1" t="n">
        <v>2530</v>
      </c>
      <c r="G148" s="7">
        <f>IFERROR(1-E148/F148,"")</f>
        <v/>
      </c>
    </row>
    <row r="149">
      <c r="A149" t="inlineStr">
        <is>
          <t>CF 660</t>
        </is>
      </c>
      <c r="B149" t="inlineStr">
        <is>
          <t>MONCAR</t>
        </is>
      </c>
      <c r="C149" t="inlineStr">
        <is>
          <t>SKIL</t>
        </is>
      </c>
      <c r="D149" s="6" t="n">
        <v>0.16</v>
      </c>
      <c r="E149" s="1">
        <f>D149*$B$2</f>
        <v/>
      </c>
      <c r="F149" s="1" t="n">
        <v>3730</v>
      </c>
      <c r="G149" s="7">
        <f>IFERROR(1-E149/F149,"")</f>
        <v/>
      </c>
    </row>
    <row r="150">
      <c r="A150" t="inlineStr">
        <is>
          <t>CF 661</t>
        </is>
      </c>
      <c r="B150" t="inlineStr">
        <is>
          <t>MONCAR</t>
        </is>
      </c>
      <c r="C150" t="inlineStr">
        <is>
          <t>SKIL</t>
        </is>
      </c>
      <c r="D150" s="6" t="n">
        <v>0.15</v>
      </c>
      <c r="E150" s="1">
        <f>D150*$B$2</f>
        <v/>
      </c>
      <c r="F150" s="1" t="n">
        <v>3760</v>
      </c>
      <c r="G150" s="7">
        <f>IFERROR(1-E150/F150,"")</f>
        <v/>
      </c>
    </row>
    <row r="151">
      <c r="A151" t="inlineStr">
        <is>
          <t>CF 663</t>
        </is>
      </c>
      <c r="B151" t="inlineStr">
        <is>
          <t>MONCAR</t>
        </is>
      </c>
      <c r="C151" t="inlineStr">
        <is>
          <t>BLACK &amp; DECKER</t>
        </is>
      </c>
      <c r="D151" s="6" t="n">
        <v>0.094</v>
      </c>
      <c r="E151" s="1">
        <f>D151*$B$2</f>
        <v/>
      </c>
      <c r="F151" s="1" t="n">
        <v>0</v>
      </c>
      <c r="G151" s="7">
        <f>IFERROR(1-E151/F151,"")</f>
        <v/>
      </c>
    </row>
    <row r="152">
      <c r="A152" t="inlineStr">
        <is>
          <t>CF 664</t>
        </is>
      </c>
      <c r="B152" t="inlineStr">
        <is>
          <t>MONCAR</t>
        </is>
      </c>
      <c r="C152" t="inlineStr">
        <is>
          <t>BLACK &amp; DECKER</t>
        </is>
      </c>
      <c r="D152" s="6" t="n">
        <v>0.08400000000000001</v>
      </c>
      <c r="E152" s="1">
        <f>D152*$B$2</f>
        <v/>
      </c>
      <c r="F152" s="1" t="n">
        <v>0</v>
      </c>
      <c r="G152" s="7">
        <f>IFERROR(1-E152/F152,"")</f>
        <v/>
      </c>
    </row>
    <row r="153">
      <c r="A153" t="inlineStr">
        <is>
          <t>CF 665</t>
        </is>
      </c>
      <c r="B153" t="inlineStr">
        <is>
          <t>MONCAR</t>
        </is>
      </c>
      <c r="C153" t="inlineStr">
        <is>
          <t>BLACK &amp; DECKER</t>
        </is>
      </c>
      <c r="D153" s="6" t="n">
        <v>0.1</v>
      </c>
      <c r="E153" s="1">
        <f>D153*$B$2</f>
        <v/>
      </c>
      <c r="F153" s="1" t="n">
        <v>2530</v>
      </c>
      <c r="G153" s="7">
        <f>IFERROR(1-E153/F153,"")</f>
        <v/>
      </c>
    </row>
    <row r="154">
      <c r="A154" t="inlineStr">
        <is>
          <t>CF 666</t>
        </is>
      </c>
      <c r="B154" t="inlineStr">
        <is>
          <t>MONCAR</t>
        </is>
      </c>
      <c r="C154" t="inlineStr">
        <is>
          <t>BLACK &amp; DECKER</t>
        </is>
      </c>
      <c r="D154" s="6" t="n">
        <v>0.1</v>
      </c>
      <c r="E154" s="1">
        <f>D154*$B$2</f>
        <v/>
      </c>
      <c r="F154" s="1" t="n">
        <v>2530</v>
      </c>
      <c r="G154" s="7">
        <f>IFERROR(1-E154/F154,"")</f>
        <v/>
      </c>
    </row>
    <row r="155">
      <c r="A155" t="inlineStr">
        <is>
          <t>CF 668</t>
        </is>
      </c>
      <c r="B155" t="inlineStr">
        <is>
          <t>MONCAR</t>
        </is>
      </c>
      <c r="C155" t="inlineStr">
        <is>
          <t>BOSCH</t>
        </is>
      </c>
      <c r="D155" s="6" t="n">
        <v>0.25</v>
      </c>
      <c r="E155" s="1">
        <f>D155*$B$2</f>
        <v/>
      </c>
      <c r="F155" s="1" t="n">
        <v>6300</v>
      </c>
      <c r="G155" s="7">
        <f>IFERROR(1-E155/F155,"")</f>
        <v/>
      </c>
    </row>
    <row r="156">
      <c r="A156" t="inlineStr">
        <is>
          <t>CF 672</t>
        </is>
      </c>
      <c r="B156" t="inlineStr">
        <is>
          <t>MONCAR</t>
        </is>
      </c>
      <c r="C156" t="inlineStr">
        <is>
          <t>BLACK &amp; DECKER</t>
        </is>
      </c>
      <c r="D156" s="6" t="n">
        <v>0.12</v>
      </c>
      <c r="E156" s="1">
        <f>D156*$B$2</f>
        <v/>
      </c>
      <c r="F156" s="1" t="n">
        <v>3050</v>
      </c>
      <c r="G156" s="7">
        <f>IFERROR(1-E156/F156,"")</f>
        <v/>
      </c>
    </row>
    <row r="157">
      <c r="A157" t="inlineStr">
        <is>
          <t>CF 673</t>
        </is>
      </c>
      <c r="B157" t="inlineStr">
        <is>
          <t>MONCAR</t>
        </is>
      </c>
      <c r="C157" t="inlineStr">
        <is>
          <t>BLACK &amp; DECKER</t>
        </is>
      </c>
      <c r="D157" s="6" t="n">
        <v>0.12</v>
      </c>
      <c r="E157" s="1">
        <f>D157*$B$2</f>
        <v/>
      </c>
      <c r="F157" s="1" t="n">
        <v>3050</v>
      </c>
      <c r="G157" s="7">
        <f>IFERROR(1-E157/F157,"")</f>
        <v/>
      </c>
    </row>
    <row r="158">
      <c r="A158" t="inlineStr">
        <is>
          <t>CF 674</t>
        </is>
      </c>
      <c r="B158" t="inlineStr">
        <is>
          <t>MONCAR</t>
        </is>
      </c>
      <c r="C158" t="inlineStr">
        <is>
          <t>BLACK &amp; DECKER</t>
        </is>
      </c>
      <c r="D158" s="6" t="n">
        <v>0.1</v>
      </c>
      <c r="E158" s="1">
        <f>D158*$B$2</f>
        <v/>
      </c>
      <c r="F158" s="1" t="n">
        <v>2530</v>
      </c>
      <c r="G158" s="7">
        <f>IFERROR(1-E158/F158,"")</f>
        <v/>
      </c>
    </row>
    <row r="159">
      <c r="A159" t="inlineStr">
        <is>
          <t>CF 675</t>
        </is>
      </c>
      <c r="B159" t="inlineStr">
        <is>
          <t>MONCAR</t>
        </is>
      </c>
      <c r="C159" t="inlineStr">
        <is>
          <t>BLACK &amp; DECKER</t>
        </is>
      </c>
      <c r="D159" s="6" t="n">
        <v>0.15</v>
      </c>
      <c r="E159" s="1">
        <f>D159*$B$2</f>
        <v/>
      </c>
      <c r="F159" s="1" t="n">
        <v>3760</v>
      </c>
      <c r="G159" s="7">
        <f>IFERROR(1-E159/F159,"")</f>
        <v/>
      </c>
    </row>
    <row r="160">
      <c r="A160" t="inlineStr">
        <is>
          <t>CF 711</t>
        </is>
      </c>
      <c r="B160" t="inlineStr">
        <is>
          <t>MONCAR</t>
        </is>
      </c>
      <c r="C160" t="inlineStr">
        <is>
          <t>GAMMA</t>
        </is>
      </c>
      <c r="D160" s="6" t="n">
        <v>0.17</v>
      </c>
      <c r="E160" s="1">
        <f>D160*$B$2</f>
        <v/>
      </c>
      <c r="F160" s="1" t="n">
        <v>3370</v>
      </c>
      <c r="G160" s="7">
        <f>IFERROR(1-E160/F160,"")</f>
        <v/>
      </c>
    </row>
    <row r="161">
      <c r="A161" t="inlineStr">
        <is>
          <t>CF 750</t>
        </is>
      </c>
      <c r="B161" t="inlineStr">
        <is>
          <t>MONCAR</t>
        </is>
      </c>
      <c r="C161" t="inlineStr">
        <is>
          <t>DOWEN PAGGIO</t>
        </is>
      </c>
      <c r="D161" s="6" t="n">
        <v>0.15</v>
      </c>
      <c r="E161" s="1">
        <f>D161*$B$2</f>
        <v/>
      </c>
      <c r="F161" s="1" t="n">
        <v>3760</v>
      </c>
      <c r="G161" s="7">
        <f>IFERROR(1-E161/F161,"")</f>
        <v/>
      </c>
    </row>
    <row r="162">
      <c r="A162" t="inlineStr">
        <is>
          <t>CF 751</t>
        </is>
      </c>
      <c r="B162" t="inlineStr">
        <is>
          <t>MONCAR</t>
        </is>
      </c>
      <c r="C162" t="inlineStr">
        <is>
          <t>DOWEN PAGGIO</t>
        </is>
      </c>
      <c r="D162" s="6" t="n">
        <v>0.11</v>
      </c>
      <c r="E162" s="1">
        <f>D162*$B$2</f>
        <v/>
      </c>
      <c r="F162" s="1" t="n">
        <v>2780</v>
      </c>
      <c r="G162" s="7">
        <f>IFERROR(1-E162/F162,"")</f>
        <v/>
      </c>
    </row>
    <row r="163">
      <c r="A163" t="inlineStr">
        <is>
          <t>CF 752</t>
        </is>
      </c>
      <c r="B163" t="inlineStr">
        <is>
          <t>MONCAR</t>
        </is>
      </c>
      <c r="C163" t="inlineStr">
        <is>
          <t>DOWEN PAGGIO</t>
        </is>
      </c>
      <c r="D163" s="6" t="n">
        <v>0.19</v>
      </c>
      <c r="E163" s="1">
        <f>D163*$B$2</f>
        <v/>
      </c>
      <c r="F163" s="1" t="n">
        <v>4800</v>
      </c>
      <c r="G163" s="7">
        <f>IFERROR(1-E163/F163,"")</f>
        <v/>
      </c>
    </row>
    <row r="164">
      <c r="A164" t="inlineStr">
        <is>
          <t>CF 753</t>
        </is>
      </c>
      <c r="B164" t="inlineStr">
        <is>
          <t>MONCAR</t>
        </is>
      </c>
      <c r="C164" t="inlineStr">
        <is>
          <t>DOWEN PAGGIO</t>
        </is>
      </c>
      <c r="D164" s="6" t="n">
        <v>0.22</v>
      </c>
      <c r="E164" s="1">
        <f>D164*$B$2</f>
        <v/>
      </c>
      <c r="F164" s="1" t="n">
        <v>5330</v>
      </c>
      <c r="G164" s="7">
        <f>IFERROR(1-E164/F164,"")</f>
        <v/>
      </c>
    </row>
    <row r="165">
      <c r="A165" t="inlineStr">
        <is>
          <t>CF 754</t>
        </is>
      </c>
      <c r="B165" t="inlineStr">
        <is>
          <t>MONCAR</t>
        </is>
      </c>
      <c r="C165" t="inlineStr">
        <is>
          <t>DOWEN PAGGIO</t>
        </is>
      </c>
      <c r="D165" s="6" t="n">
        <v>0.23</v>
      </c>
      <c r="E165" s="1">
        <f>D165*$B$2</f>
        <v/>
      </c>
      <c r="F165" s="1" t="n">
        <v>5370</v>
      </c>
      <c r="G165" s="7">
        <f>IFERROR(1-E165/F165,"")</f>
        <v/>
      </c>
    </row>
    <row r="166">
      <c r="A166" t="inlineStr">
        <is>
          <t>CF 755</t>
        </is>
      </c>
      <c r="B166" t="inlineStr">
        <is>
          <t>MONCAR</t>
        </is>
      </c>
      <c r="C166" t="inlineStr">
        <is>
          <t>DOWEN PAGGIO</t>
        </is>
      </c>
      <c r="D166" s="6" t="n">
        <v>0.112</v>
      </c>
      <c r="E166" s="1">
        <f>D166*$B$2</f>
        <v/>
      </c>
      <c r="F166" s="1" t="n">
        <v>2830</v>
      </c>
      <c r="G166" s="7">
        <f>IFERROR(1-E166/F166,"")</f>
        <v/>
      </c>
    </row>
    <row r="167">
      <c r="A167" t="inlineStr">
        <is>
          <t>CF 756</t>
        </is>
      </c>
      <c r="B167" t="inlineStr">
        <is>
          <t>MONCAR</t>
        </is>
      </c>
      <c r="C167" t="inlineStr">
        <is>
          <t>DOWEN PAGGIO</t>
        </is>
      </c>
      <c r="D167" s="6" t="n">
        <v>0.16</v>
      </c>
      <c r="E167" s="1">
        <f>D167*$B$2</f>
        <v/>
      </c>
      <c r="F167" s="1" t="n">
        <v>4250</v>
      </c>
      <c r="G167" s="7">
        <f>IFERROR(1-E167/F167,"")</f>
        <v/>
      </c>
    </row>
    <row r="168">
      <c r="A168" t="inlineStr">
        <is>
          <t>CF 757</t>
        </is>
      </c>
      <c r="B168" t="inlineStr">
        <is>
          <t>MONCAR</t>
        </is>
      </c>
      <c r="C168" t="inlineStr">
        <is>
          <t>DOWEN PAGGIO</t>
        </is>
      </c>
      <c r="D168" s="6" t="n">
        <v>0.16</v>
      </c>
      <c r="E168" s="1">
        <f>D168*$B$2</f>
        <v/>
      </c>
      <c r="F168" s="1" t="n">
        <v>4030</v>
      </c>
      <c r="G168" s="7">
        <f>IFERROR(1-E168/F168,"")</f>
        <v/>
      </c>
    </row>
    <row r="169">
      <c r="A169" t="inlineStr">
        <is>
          <t>CF 758</t>
        </is>
      </c>
      <c r="B169" t="inlineStr">
        <is>
          <t>MONCAR</t>
        </is>
      </c>
      <c r="C169" t="inlineStr">
        <is>
          <t>DOWEN PAGGIO</t>
        </is>
      </c>
      <c r="D169" s="6" t="n">
        <v>0.21</v>
      </c>
      <c r="E169" s="1">
        <f>D169*$B$2</f>
        <v/>
      </c>
      <c r="F169" s="1" t="n">
        <v>5060</v>
      </c>
      <c r="G169" s="7">
        <f>IFERROR(1-E169/F169,"")</f>
        <v/>
      </c>
    </row>
    <row r="170">
      <c r="A170" t="inlineStr">
        <is>
          <t>CF 760</t>
        </is>
      </c>
      <c r="B170" t="inlineStr">
        <is>
          <t>MONCAR</t>
        </is>
      </c>
      <c r="C170" t="inlineStr">
        <is>
          <t>DOWEN PAGGIO</t>
        </is>
      </c>
      <c r="D170" s="6" t="n">
        <v>0.16</v>
      </c>
      <c r="E170" s="1">
        <f>D170*$B$2</f>
        <v/>
      </c>
      <c r="F170" s="1" t="n">
        <v>4070</v>
      </c>
      <c r="G170" s="7">
        <f>IFERROR(1-E170/F170,"")</f>
        <v/>
      </c>
    </row>
    <row r="171">
      <c r="A171" t="inlineStr">
        <is>
          <t>CF 761</t>
        </is>
      </c>
      <c r="B171" t="inlineStr">
        <is>
          <t>MONCAR</t>
        </is>
      </c>
      <c r="C171" t="inlineStr">
        <is>
          <t>DOWEN PAGGIO</t>
        </is>
      </c>
      <c r="D171" s="6" t="n">
        <v>0.18</v>
      </c>
      <c r="E171" s="1">
        <f>D171*$B$2</f>
        <v/>
      </c>
      <c r="F171" s="1" t="n">
        <v>4550</v>
      </c>
      <c r="G171" s="7">
        <f>IFERROR(1-E171/F171,"")</f>
        <v/>
      </c>
    </row>
    <row r="172">
      <c r="A172" t="inlineStr">
        <is>
          <t>CF 762</t>
        </is>
      </c>
      <c r="B172" t="inlineStr">
        <is>
          <t>MONCAR</t>
        </is>
      </c>
      <c r="C172" t="inlineStr">
        <is>
          <t>DOWEN PAGGIO</t>
        </is>
      </c>
      <c r="D172" s="6" t="n">
        <v>0.11</v>
      </c>
      <c r="E172" s="1">
        <f>D172*$B$2</f>
        <v/>
      </c>
      <c r="F172" s="1" t="n">
        <v>2780</v>
      </c>
      <c r="G172" s="7">
        <f>IFERROR(1-E172/F172,"")</f>
        <v/>
      </c>
    </row>
    <row r="173">
      <c r="A173" t="inlineStr">
        <is>
          <t>CF 763</t>
        </is>
      </c>
      <c r="B173" t="inlineStr">
        <is>
          <t>MONCAR</t>
        </is>
      </c>
      <c r="C173" t="inlineStr">
        <is>
          <t>DOWEN PAGGIO</t>
        </is>
      </c>
      <c r="D173" s="6" t="n">
        <v>0.22</v>
      </c>
      <c r="E173" s="1">
        <f>D173*$B$2</f>
        <v/>
      </c>
      <c r="F173" s="1" t="n">
        <v>5420</v>
      </c>
      <c r="G173" s="7">
        <f>IFERROR(1-E173/F173,"")</f>
        <v/>
      </c>
    </row>
    <row r="174">
      <c r="A174" t="inlineStr">
        <is>
          <t>CF 764</t>
        </is>
      </c>
      <c r="B174" t="inlineStr">
        <is>
          <t>MONCAR</t>
        </is>
      </c>
      <c r="C174" t="inlineStr">
        <is>
          <t>DOWEN PAGGIO</t>
        </is>
      </c>
      <c r="D174" s="6" t="n">
        <v>0.12</v>
      </c>
      <c r="E174" s="1">
        <f>D174*$B$2</f>
        <v/>
      </c>
      <c r="F174" s="1" t="n">
        <v>2910</v>
      </c>
      <c r="G174" s="7">
        <f>IFERROR(1-E174/F174,"")</f>
        <v/>
      </c>
    </row>
    <row r="175">
      <c r="A175" t="inlineStr">
        <is>
          <t>CF 765</t>
        </is>
      </c>
      <c r="B175" t="inlineStr">
        <is>
          <t>MONCAR</t>
        </is>
      </c>
      <c r="C175" t="inlineStr">
        <is>
          <t>DOWEN PAGGIO</t>
        </is>
      </c>
      <c r="D175" s="6" t="n">
        <v>0.1</v>
      </c>
      <c r="E175" s="1">
        <f>D175*$B$2</f>
        <v/>
      </c>
      <c r="F175" s="1" t="n">
        <v>2530</v>
      </c>
      <c r="G175" s="7">
        <f>IFERROR(1-E175/F175,"")</f>
        <v/>
      </c>
    </row>
    <row r="176">
      <c r="A176" t="inlineStr">
        <is>
          <t>CF 766</t>
        </is>
      </c>
      <c r="B176" t="inlineStr">
        <is>
          <t>MONCAR</t>
        </is>
      </c>
      <c r="C176" t="inlineStr">
        <is>
          <t>DOWEN PAGGIO</t>
        </is>
      </c>
      <c r="D176" s="6" t="n">
        <v>0.12</v>
      </c>
      <c r="E176" s="1">
        <f>D176*$B$2</f>
        <v/>
      </c>
      <c r="F176" s="1" t="n">
        <v>3050</v>
      </c>
      <c r="G176" s="7">
        <f>IFERROR(1-E176/F176,"")</f>
        <v/>
      </c>
    </row>
    <row r="177">
      <c r="A177" t="inlineStr">
        <is>
          <t>CF 767</t>
        </is>
      </c>
      <c r="B177" t="inlineStr">
        <is>
          <t>MONCAR</t>
        </is>
      </c>
      <c r="C177" t="inlineStr">
        <is>
          <t>DOWEN PAGGIO</t>
        </is>
      </c>
      <c r="D177" s="6" t="n">
        <v>0.16</v>
      </c>
      <c r="E177" s="1">
        <f>D177*$B$2</f>
        <v/>
      </c>
      <c r="F177" s="1" t="n">
        <v>3700</v>
      </c>
      <c r="G177" s="7">
        <f>IFERROR(1-E177/F177,"")</f>
        <v/>
      </c>
    </row>
    <row r="178">
      <c r="A178" t="inlineStr">
        <is>
          <t>CF 768</t>
        </is>
      </c>
      <c r="B178" t="inlineStr">
        <is>
          <t>MONCAR</t>
        </is>
      </c>
      <c r="C178" t="inlineStr">
        <is>
          <t>DOWEN PAGGIO</t>
        </is>
      </c>
      <c r="D178" s="6" t="n">
        <v>0.21</v>
      </c>
      <c r="E178" s="1">
        <f>D178*$B$2</f>
        <v/>
      </c>
      <c r="F178" s="1" t="n">
        <v>5300</v>
      </c>
      <c r="G178" s="7">
        <f>IFERROR(1-E178/F178,"")</f>
        <v/>
      </c>
    </row>
    <row r="179">
      <c r="A179" t="inlineStr">
        <is>
          <t>CF 880</t>
        </is>
      </c>
      <c r="B179" t="inlineStr">
        <is>
          <t>MONCAR</t>
        </is>
      </c>
      <c r="C179" t="inlineStr">
        <is>
          <t>NEO</t>
        </is>
      </c>
      <c r="D179" s="6" t="n">
        <v>0.22</v>
      </c>
      <c r="E179" s="1">
        <f>D179*$B$2</f>
        <v/>
      </c>
      <c r="F179" s="1" t="n">
        <v>5590</v>
      </c>
      <c r="G179" s="7">
        <f>IFERROR(1-E179/F179,"")</f>
        <v/>
      </c>
    </row>
    <row r="180">
      <c r="A180" t="inlineStr">
        <is>
          <t>CF 917</t>
        </is>
      </c>
      <c r="B180" t="inlineStr">
        <is>
          <t>MONCAR</t>
        </is>
      </c>
      <c r="C180" t="inlineStr">
        <is>
          <t>BOSCH</t>
        </is>
      </c>
      <c r="D180" s="6" t="n">
        <v>0.16</v>
      </c>
      <c r="E180" s="1">
        <f>D180*$B$2</f>
        <v/>
      </c>
      <c r="F180" s="1" t="n">
        <v>4030</v>
      </c>
      <c r="G180" s="7">
        <f>IFERROR(1-E180/F180,"")</f>
        <v/>
      </c>
    </row>
    <row r="181">
      <c r="A181" t="inlineStr">
        <is>
          <t>RM 022</t>
        </is>
      </c>
      <c r="B181" t="inlineStr">
        <is>
          <t>RMH</t>
        </is>
      </c>
      <c r="C181" t="inlineStr">
        <is>
          <t>RMH</t>
        </is>
      </c>
      <c r="D181" s="6" t="n">
        <v>1.892</v>
      </c>
      <c r="E181" s="1">
        <f>D181*$E$2</f>
        <v/>
      </c>
      <c r="F181" s="1" t="n">
        <v>4000</v>
      </c>
      <c r="G181" s="7">
        <f>IFERROR(1-E181/F181,"")</f>
        <v/>
      </c>
    </row>
    <row r="182">
      <c r="A182" t="inlineStr">
        <is>
          <t>RM 023</t>
        </is>
      </c>
      <c r="B182" t="inlineStr">
        <is>
          <t>RMH</t>
        </is>
      </c>
      <c r="C182" t="inlineStr">
        <is>
          <t>RMH</t>
        </is>
      </c>
      <c r="D182" s="6" t="n">
        <v>1.842</v>
      </c>
      <c r="E182" s="1">
        <f>D182*$E$2</f>
        <v/>
      </c>
      <c r="F182" s="1" t="n">
        <v>3650</v>
      </c>
      <c r="G182" s="7">
        <f>IFERROR(1-E182/F182,"")</f>
        <v/>
      </c>
    </row>
    <row r="183">
      <c r="A183" t="inlineStr">
        <is>
          <t>RM 026</t>
        </is>
      </c>
      <c r="B183" t="inlineStr">
        <is>
          <t>RMH</t>
        </is>
      </c>
      <c r="C183" t="inlineStr">
        <is>
          <t>RMH</t>
        </is>
      </c>
      <c r="D183" s="6" t="n">
        <v>1.842</v>
      </c>
      <c r="E183" s="1">
        <f>D183*$E$2</f>
        <v/>
      </c>
      <c r="F183" s="1" t="n">
        <v>3650</v>
      </c>
      <c r="G183" s="7">
        <f>IFERROR(1-E183/F183,"")</f>
        <v/>
      </c>
    </row>
    <row r="184">
      <c r="A184" t="inlineStr">
        <is>
          <t>RM 032</t>
        </is>
      </c>
      <c r="B184" t="inlineStr">
        <is>
          <t>RMH</t>
        </is>
      </c>
      <c r="C184" t="inlineStr">
        <is>
          <t>RMH</t>
        </is>
      </c>
      <c r="D184" s="6" t="n">
        <v>2.742</v>
      </c>
      <c r="E184" s="1">
        <f>D184*$E$2</f>
        <v/>
      </c>
      <c r="F184" s="1" t="n">
        <v>11000</v>
      </c>
      <c r="G184" s="7">
        <f>IFERROR(1-E184/F184,"")</f>
        <v/>
      </c>
    </row>
    <row r="185">
      <c r="A185" t="inlineStr">
        <is>
          <t>RM 033</t>
        </is>
      </c>
      <c r="B185" t="inlineStr">
        <is>
          <t>RMH</t>
        </is>
      </c>
      <c r="C185" t="inlineStr">
        <is>
          <t>RMH</t>
        </is>
      </c>
      <c r="D185" s="6" t="n">
        <v>2.742</v>
      </c>
      <c r="E185" s="1">
        <f>D185*$E$2</f>
        <v/>
      </c>
      <c r="F185" s="1" t="n">
        <v>11600</v>
      </c>
      <c r="G185" s="7">
        <f>IFERROR(1-E185/F185,"")</f>
        <v/>
      </c>
    </row>
    <row r="186">
      <c r="A186" t="inlineStr">
        <is>
          <t>RM 034</t>
        </is>
      </c>
      <c r="B186" t="inlineStr">
        <is>
          <t>RMH</t>
        </is>
      </c>
      <c r="C186" t="inlineStr">
        <is>
          <t>RMH</t>
        </is>
      </c>
      <c r="D186" s="6" t="n">
        <v>2.192</v>
      </c>
      <c r="E186" s="1">
        <f>D186*$E$2</f>
        <v/>
      </c>
      <c r="F186" s="1" t="n">
        <v>6800</v>
      </c>
      <c r="G186" s="7">
        <f>IFERROR(1-E186/F186,"")</f>
        <v/>
      </c>
    </row>
    <row r="187">
      <c r="A187" t="inlineStr">
        <is>
          <t>RM 035</t>
        </is>
      </c>
      <c r="B187" t="inlineStr">
        <is>
          <t>RMH</t>
        </is>
      </c>
      <c r="C187" t="inlineStr">
        <is>
          <t>RMH</t>
        </is>
      </c>
      <c r="D187" s="6" t="n">
        <v>1.872</v>
      </c>
      <c r="E187" s="1">
        <f>D187*$E$2</f>
        <v/>
      </c>
      <c r="F187" s="1" t="n">
        <v>3850</v>
      </c>
      <c r="G187" s="7">
        <f>IFERROR(1-E187/F187,"")</f>
        <v/>
      </c>
    </row>
    <row r="188">
      <c r="A188" t="inlineStr">
        <is>
          <t>RM 036</t>
        </is>
      </c>
      <c r="B188" t="inlineStr">
        <is>
          <t>RMH</t>
        </is>
      </c>
      <c r="C188" t="inlineStr">
        <is>
          <t>RMH</t>
        </is>
      </c>
      <c r="D188" s="6" t="n">
        <v>2.132</v>
      </c>
      <c r="E188" s="1">
        <f>D188*$E$2</f>
        <v/>
      </c>
      <c r="F188" s="1" t="n">
        <v>7400</v>
      </c>
      <c r="G188" s="7">
        <f>IFERROR(1-E188/F188,"")</f>
        <v/>
      </c>
    </row>
    <row r="189">
      <c r="A189" t="inlineStr">
        <is>
          <t>RM 040</t>
        </is>
      </c>
      <c r="B189" t="inlineStr">
        <is>
          <t>RMH</t>
        </is>
      </c>
      <c r="C189" t="inlineStr">
        <is>
          <t>RMH</t>
        </is>
      </c>
      <c r="D189" s="6" t="n">
        <v>1.762</v>
      </c>
      <c r="E189" s="1">
        <f>D189*$E$2</f>
        <v/>
      </c>
      <c r="F189" s="1" t="n">
        <v>3650</v>
      </c>
      <c r="G189" s="7">
        <f>IFERROR(1-E189/F189,"")</f>
        <v/>
      </c>
    </row>
    <row r="190">
      <c r="A190" t="inlineStr">
        <is>
          <t>RM 041</t>
        </is>
      </c>
      <c r="B190" t="inlineStr">
        <is>
          <t>RMH</t>
        </is>
      </c>
      <c r="C190" t="inlineStr">
        <is>
          <t>RMH</t>
        </is>
      </c>
      <c r="D190" s="6" t="n">
        <v>1.802</v>
      </c>
      <c r="E190" s="1">
        <f>D190*$E$2</f>
        <v/>
      </c>
      <c r="F190" s="1" t="n">
        <v>3650</v>
      </c>
      <c r="G190" s="7">
        <f>IFERROR(1-E190/F190,"")</f>
        <v/>
      </c>
    </row>
    <row r="191">
      <c r="A191" t="inlineStr">
        <is>
          <t>RM 101</t>
        </is>
      </c>
      <c r="B191" t="inlineStr">
        <is>
          <t>RMH</t>
        </is>
      </c>
      <c r="C191" t="inlineStr">
        <is>
          <t>RMH</t>
        </is>
      </c>
      <c r="D191" s="6" t="n">
        <v>2.692</v>
      </c>
      <c r="E191" s="1">
        <f>D191*$E$2</f>
        <v/>
      </c>
      <c r="F191" s="1" t="n">
        <v>17600</v>
      </c>
      <c r="G191" s="7">
        <f>IFERROR(1-E191/F191,"")</f>
        <v/>
      </c>
    </row>
    <row r="192">
      <c r="A192" t="inlineStr">
        <is>
          <t>RM 102</t>
        </is>
      </c>
      <c r="B192" t="inlineStr">
        <is>
          <t>RMH</t>
        </is>
      </c>
      <c r="C192" t="inlineStr">
        <is>
          <t>RMH</t>
        </is>
      </c>
      <c r="D192" s="6" t="n">
        <v>2.722</v>
      </c>
      <c r="E192" s="1">
        <f>D192*$E$2</f>
        <v/>
      </c>
      <c r="F192" s="1" t="n">
        <v>17600</v>
      </c>
      <c r="G192" s="7">
        <f>IFERROR(1-E192/F192,"")</f>
        <v/>
      </c>
    </row>
    <row r="193">
      <c r="A193" t="inlineStr">
        <is>
          <t>RM 106</t>
        </is>
      </c>
      <c r="B193" t="inlineStr">
        <is>
          <t>RMH</t>
        </is>
      </c>
      <c r="C193" t="inlineStr">
        <is>
          <t>RMH</t>
        </is>
      </c>
      <c r="D193" s="6" t="n">
        <v>2.242</v>
      </c>
      <c r="E193" s="1">
        <f>D193*$E$2</f>
        <v/>
      </c>
      <c r="F193" s="1" t="n">
        <v>12000</v>
      </c>
      <c r="G193" s="7">
        <f>IFERROR(1-E193/F193,"")</f>
        <v/>
      </c>
    </row>
    <row r="194">
      <c r="A194" t="inlineStr">
        <is>
          <t>RM 111</t>
        </is>
      </c>
      <c r="B194" t="inlineStr">
        <is>
          <t>RMH</t>
        </is>
      </c>
      <c r="C194" t="inlineStr">
        <is>
          <t>RMH</t>
        </is>
      </c>
      <c r="D194" s="6" t="n">
        <v>2.592</v>
      </c>
      <c r="E194" s="1">
        <f>D194*$E$2</f>
        <v/>
      </c>
      <c r="F194" s="1" t="n">
        <v>17600</v>
      </c>
      <c r="G194" s="7">
        <f>IFERROR(1-E194/F194,"")</f>
        <v/>
      </c>
    </row>
    <row r="195">
      <c r="A195" t="inlineStr">
        <is>
          <t>RM 400</t>
        </is>
      </c>
      <c r="B195" t="inlineStr">
        <is>
          <t>RMH</t>
        </is>
      </c>
      <c r="C195" t="inlineStr">
        <is>
          <t>RMH</t>
        </is>
      </c>
      <c r="D195" s="6" t="n">
        <v>3.542</v>
      </c>
      <c r="E195" s="1">
        <f>D195*$E$2</f>
        <v/>
      </c>
      <c r="F195" s="1" t="n">
        <v>18700</v>
      </c>
      <c r="G195" s="7">
        <f>IFERROR(1-E195/F195,"")</f>
        <v/>
      </c>
    </row>
    <row r="196">
      <c r="A196" t="inlineStr">
        <is>
          <t>RM 401</t>
        </is>
      </c>
      <c r="B196" t="inlineStr">
        <is>
          <t>RMH</t>
        </is>
      </c>
      <c r="C196" t="inlineStr">
        <is>
          <t>RMH</t>
        </is>
      </c>
      <c r="D196" s="6" t="n">
        <v>2.922</v>
      </c>
      <c r="E196" s="1">
        <f>D196*$E$2</f>
        <v/>
      </c>
      <c r="F196" s="1" t="n">
        <v>14850</v>
      </c>
      <c r="G196" s="7">
        <f>IFERROR(1-E196/F196,"")</f>
        <v/>
      </c>
    </row>
    <row r="197">
      <c r="A197" t="inlineStr">
        <is>
          <t>RM 402</t>
        </is>
      </c>
      <c r="B197" t="inlineStr">
        <is>
          <t>RMH</t>
        </is>
      </c>
      <c r="C197" t="inlineStr">
        <is>
          <t>RMH</t>
        </is>
      </c>
      <c r="D197" s="6" t="n">
        <v>2.942</v>
      </c>
      <c r="E197" s="1">
        <f>D197*$E$2</f>
        <v/>
      </c>
      <c r="F197" s="1" t="n">
        <v>14850</v>
      </c>
      <c r="G197" s="7">
        <f>IFERROR(1-E197/F197,"")</f>
        <v/>
      </c>
    </row>
    <row r="198">
      <c r="A198" t="inlineStr">
        <is>
          <t>RM 409</t>
        </is>
      </c>
      <c r="B198" t="inlineStr">
        <is>
          <t>RMH</t>
        </is>
      </c>
      <c r="C198" t="inlineStr">
        <is>
          <t>RMH</t>
        </is>
      </c>
      <c r="D198" s="6" t="n">
        <v>2.132</v>
      </c>
      <c r="E198" s="1">
        <f>D198*$E$2</f>
        <v/>
      </c>
      <c r="F198" s="1" t="n">
        <v>4000</v>
      </c>
      <c r="G198" s="7">
        <f>IFERROR(1-E198/F198,"")</f>
        <v/>
      </c>
    </row>
    <row r="199">
      <c r="A199" t="inlineStr">
        <is>
          <t>RM 413</t>
        </is>
      </c>
      <c r="B199" t="inlineStr">
        <is>
          <t>RMH</t>
        </is>
      </c>
      <c r="C199" t="inlineStr">
        <is>
          <t>RMH</t>
        </is>
      </c>
      <c r="D199" s="6" t="n">
        <v>2.642</v>
      </c>
      <c r="E199" s="1">
        <f>D199*$E$2</f>
        <v/>
      </c>
      <c r="F199" s="1" t="n">
        <v>14000</v>
      </c>
      <c r="G199" s="7">
        <f>IFERROR(1-E199/F199,"")</f>
        <v/>
      </c>
    </row>
    <row r="200">
      <c r="A200" t="inlineStr">
        <is>
          <t>RM 414</t>
        </is>
      </c>
      <c r="B200" t="inlineStr">
        <is>
          <t>RMH</t>
        </is>
      </c>
      <c r="C200" t="inlineStr">
        <is>
          <t>RMH</t>
        </is>
      </c>
      <c r="D200" s="6" t="n">
        <v>2.642</v>
      </c>
      <c r="E200" s="1">
        <f>D200*$E$2</f>
        <v/>
      </c>
      <c r="F200" s="1" t="n">
        <v>14000</v>
      </c>
      <c r="G200" s="7">
        <f>IFERROR(1-E200/F200,"")</f>
        <v/>
      </c>
    </row>
    <row r="201">
      <c r="A201" t="inlineStr">
        <is>
          <t>RM 416</t>
        </is>
      </c>
      <c r="B201" t="inlineStr">
        <is>
          <t>RMH</t>
        </is>
      </c>
      <c r="C201" t="inlineStr">
        <is>
          <t>RMH</t>
        </is>
      </c>
      <c r="D201" s="6" t="n">
        <v>2.772</v>
      </c>
      <c r="E201" s="1">
        <f>D201*$E$2</f>
        <v/>
      </c>
      <c r="F201" s="1" t="n">
        <v>16700</v>
      </c>
      <c r="G201" s="7">
        <f>IFERROR(1-E201/F201,"")</f>
        <v/>
      </c>
    </row>
    <row r="202">
      <c r="A202" t="inlineStr">
        <is>
          <t>RM 417</t>
        </is>
      </c>
      <c r="B202" t="inlineStr">
        <is>
          <t>RMH</t>
        </is>
      </c>
      <c r="C202" t="inlineStr">
        <is>
          <t>RMH</t>
        </is>
      </c>
      <c r="D202" s="6" t="n">
        <v>2.362</v>
      </c>
      <c r="E202" s="1">
        <f>D202*$E$2</f>
        <v/>
      </c>
      <c r="F202" s="1" t="n">
        <v>16500</v>
      </c>
      <c r="G202" s="7">
        <f>IFERROR(1-E202/F202,"")</f>
        <v/>
      </c>
    </row>
    <row r="203">
      <c r="A203" t="inlineStr">
        <is>
          <t>RM 418</t>
        </is>
      </c>
      <c r="B203" t="inlineStr">
        <is>
          <t>RMH</t>
        </is>
      </c>
      <c r="C203" t="inlineStr">
        <is>
          <t>RMH</t>
        </is>
      </c>
      <c r="D203" s="6" t="n">
        <v>2.692</v>
      </c>
      <c r="E203" s="1">
        <f>D203*$E$2</f>
        <v/>
      </c>
      <c r="F203" s="1" t="n">
        <v>16500</v>
      </c>
      <c r="G203" s="7">
        <f>IFERROR(1-E203/F203,"")</f>
        <v/>
      </c>
    </row>
    <row r="204">
      <c r="A204" t="inlineStr">
        <is>
          <t>RM 420</t>
        </is>
      </c>
      <c r="B204" t="inlineStr">
        <is>
          <t>RMH</t>
        </is>
      </c>
      <c r="C204" t="inlineStr">
        <is>
          <t>RMH</t>
        </is>
      </c>
      <c r="D204" s="6" t="n">
        <v>2.742</v>
      </c>
      <c r="E204" s="1">
        <f>D204*$E$2</f>
        <v/>
      </c>
      <c r="F204" s="1" t="n">
        <v>16500</v>
      </c>
      <c r="G204" s="7">
        <f>IFERROR(1-E204/F204,"")</f>
        <v/>
      </c>
    </row>
    <row r="205">
      <c r="A205" t="inlineStr">
        <is>
          <t>RM 421</t>
        </is>
      </c>
      <c r="B205" t="inlineStr">
        <is>
          <t>RMH</t>
        </is>
      </c>
      <c r="C205" t="inlineStr">
        <is>
          <t>RMH</t>
        </is>
      </c>
      <c r="D205" s="6" t="n">
        <v>0</v>
      </c>
      <c r="E205" s="1">
        <f>D205*$E$2</f>
        <v/>
      </c>
      <c r="F205" s="1" t="n">
        <v>9200</v>
      </c>
      <c r="G205" s="7">
        <f>IFERROR(1-E205/F205,"")</f>
        <v/>
      </c>
    </row>
    <row r="206">
      <c r="A206" t="inlineStr">
        <is>
          <t>RM 424</t>
        </is>
      </c>
      <c r="B206" t="inlineStr">
        <is>
          <t>RMH</t>
        </is>
      </c>
      <c r="C206" t="inlineStr">
        <is>
          <t>RMH</t>
        </is>
      </c>
      <c r="D206" s="6" t="n">
        <v>5.342</v>
      </c>
      <c r="E206" s="1">
        <f>D206*$E$2</f>
        <v/>
      </c>
      <c r="F206" s="1" t="n">
        <v>36000</v>
      </c>
      <c r="G206" s="7">
        <f>IFERROR(1-E206/F206,"")</f>
        <v/>
      </c>
    </row>
    <row r="207">
      <c r="A207" t="inlineStr">
        <is>
          <t>RM 425</t>
        </is>
      </c>
      <c r="B207" t="inlineStr">
        <is>
          <t>RMH</t>
        </is>
      </c>
      <c r="C207" t="inlineStr">
        <is>
          <t>RMH</t>
        </is>
      </c>
      <c r="D207" s="6" t="n">
        <v>3.042</v>
      </c>
      <c r="E207" s="1">
        <f>D207*$E$2</f>
        <v/>
      </c>
      <c r="F207" s="1" t="n">
        <v>16500</v>
      </c>
      <c r="G207" s="7">
        <f>IFERROR(1-E207/F207,"")</f>
        <v/>
      </c>
    </row>
    <row r="208">
      <c r="A208" t="inlineStr">
        <is>
          <t>RM 505</t>
        </is>
      </c>
      <c r="B208" t="inlineStr">
        <is>
          <t>RMH</t>
        </is>
      </c>
      <c r="C208" t="inlineStr">
        <is>
          <t>RMH</t>
        </is>
      </c>
      <c r="D208" s="6" t="n">
        <v>1.942</v>
      </c>
      <c r="E208" s="1">
        <f>D208*$E$2</f>
        <v/>
      </c>
      <c r="F208" s="1" t="n">
        <v>6600</v>
      </c>
      <c r="G208" s="7">
        <f>IFERROR(1-E208/F208,"")</f>
        <v/>
      </c>
    </row>
    <row r="209">
      <c r="A209" t="inlineStr">
        <is>
          <t>RM 506</t>
        </is>
      </c>
      <c r="B209" t="inlineStr">
        <is>
          <t>RMH</t>
        </is>
      </c>
      <c r="C209" t="inlineStr">
        <is>
          <t>RMH</t>
        </is>
      </c>
      <c r="D209" s="6" t="n">
        <v>1.892</v>
      </c>
      <c r="E209" s="1">
        <f>D209*$E$2</f>
        <v/>
      </c>
      <c r="F209" s="1" t="n">
        <v>4700</v>
      </c>
      <c r="G209" s="7">
        <f>IFERROR(1-E209/F209,"")</f>
        <v/>
      </c>
    </row>
    <row r="210">
      <c r="A210" t="inlineStr">
        <is>
          <t>RM 714</t>
        </is>
      </c>
      <c r="B210" t="inlineStr">
        <is>
          <t>RMH</t>
        </is>
      </c>
      <c r="C210" t="inlineStr">
        <is>
          <t>RMH</t>
        </is>
      </c>
      <c r="D210" s="6" t="n">
        <v>2.722</v>
      </c>
      <c r="E210" s="1">
        <f>D210*$E$2</f>
        <v/>
      </c>
      <c r="F210" s="1" t="n">
        <v>16700</v>
      </c>
      <c r="G210" s="7">
        <f>IFERROR(1-E210/F210,"")</f>
        <v/>
      </c>
    </row>
    <row r="211">
      <c r="A211" t="inlineStr">
        <is>
          <t>RM 715</t>
        </is>
      </c>
      <c r="B211" t="inlineStr">
        <is>
          <t>RMH</t>
        </is>
      </c>
      <c r="C211" t="inlineStr">
        <is>
          <t>RMH</t>
        </is>
      </c>
      <c r="D211" s="6" t="n">
        <v>4.142</v>
      </c>
      <c r="E211" s="1">
        <f>D211*$E$2</f>
        <v/>
      </c>
      <c r="F211" s="1" t="n">
        <v>42000</v>
      </c>
      <c r="G211" s="7">
        <f>IFERROR(1-E211/F211,"")</f>
        <v/>
      </c>
    </row>
    <row r="212">
      <c r="A212" t="inlineStr">
        <is>
          <t>RM 716</t>
        </is>
      </c>
      <c r="B212" t="inlineStr">
        <is>
          <t>RMH</t>
        </is>
      </c>
      <c r="C212" t="inlineStr">
        <is>
          <t>RMH</t>
        </is>
      </c>
      <c r="D212" s="6" t="n">
        <v>1.982</v>
      </c>
      <c r="E212" s="1">
        <f>D212*$E$2</f>
        <v/>
      </c>
      <c r="F212" s="1" t="n">
        <v>6300</v>
      </c>
      <c r="G212" s="7">
        <f>IFERROR(1-E212/F212,"")</f>
        <v/>
      </c>
    </row>
    <row r="213">
      <c r="A213" t="inlineStr">
        <is>
          <t>RM 717</t>
        </is>
      </c>
      <c r="B213" t="inlineStr">
        <is>
          <t>RMH</t>
        </is>
      </c>
      <c r="C213" t="inlineStr">
        <is>
          <t>RMH</t>
        </is>
      </c>
      <c r="D213" s="6" t="n">
        <v>4.042</v>
      </c>
      <c r="E213" s="1">
        <f>D213*$E$2</f>
        <v/>
      </c>
      <c r="F213" s="1" t="n">
        <v>28600</v>
      </c>
      <c r="G213" s="7">
        <f>IFERROR(1-E213/F213,"")</f>
        <v/>
      </c>
    </row>
    <row r="214">
      <c r="A214" t="inlineStr">
        <is>
          <t>RM 718</t>
        </is>
      </c>
      <c r="B214" t="inlineStr">
        <is>
          <t>RMH</t>
        </is>
      </c>
      <c r="C214" t="inlineStr">
        <is>
          <t>RMH</t>
        </is>
      </c>
      <c r="D214" s="6" t="n">
        <v>0</v>
      </c>
      <c r="E214" s="1">
        <f>D214*$E$2</f>
        <v/>
      </c>
      <c r="F214" s="1" t="n">
        <v>38000</v>
      </c>
      <c r="G214" s="7">
        <f>IFERROR(1-E214/F214,"")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xSplit="1" ySplit="1" topLeftCell="B33" activePane="bottomRight" state="frozen"/>
      <selection pane="topRight" activeCell="B1" sqref="B1"/>
      <selection pane="bottomLeft" activeCell="A3" sqref="A3"/>
      <selection pane="bottomRight" activeCell="D50" sqref="D50"/>
    </sheetView>
  </sheetViews>
  <sheetFormatPr baseColWidth="10" defaultColWidth="8.88671875" defaultRowHeight="14.4"/>
  <cols>
    <col width="30" customWidth="1" style="40" min="1" max="1"/>
    <col width="18.5546875" customWidth="1" style="39" min="2" max="2"/>
    <col width="12.44140625" bestFit="1" customWidth="1" style="39" min="3" max="3"/>
    <col width="22" customWidth="1" style="39" min="4" max="5"/>
    <col width="20" customWidth="1" style="39" min="6" max="6"/>
    <col width="10.21875" bestFit="1" customWidth="1" style="39" min="7" max="7"/>
    <col width="20" customWidth="1" style="39" min="8" max="8"/>
  </cols>
  <sheetData>
    <row r="1">
      <c r="A1" s="12" t="inlineStr">
        <is>
          <t>CLIENTE</t>
        </is>
      </c>
      <c r="B1" s="31" t="inlineStr">
        <is>
          <t>CUIT</t>
        </is>
      </c>
      <c r="C1" s="12" t="inlineStr">
        <is>
          <t>TIPO CLIENTE</t>
        </is>
      </c>
      <c r="D1" s="12" t="inlineStr">
        <is>
          <t>ZONA</t>
        </is>
      </c>
      <c r="E1" s="12" t="inlineStr">
        <is>
          <t>LOCALIDAD</t>
        </is>
      </c>
      <c r="F1" s="12" t="inlineStr">
        <is>
          <t>PROVINCIA</t>
        </is>
      </c>
      <c r="G1" s="12" t="inlineStr">
        <is>
          <t>VENDEDOR</t>
        </is>
      </c>
      <c r="H1" s="31" t="inlineStr">
        <is>
          <t>% comisión venta</t>
        </is>
      </c>
    </row>
    <row r="2">
      <c r="A2" s="13" t="inlineStr">
        <is>
          <t>AYL MAQUINAS</t>
        </is>
      </c>
      <c r="B2" s="32" t="n"/>
      <c r="C2" s="32" t="inlineStr">
        <is>
          <t>FERRETERIA</t>
        </is>
      </c>
      <c r="D2" s="32" t="inlineStr">
        <is>
          <t>SANTIAGO DEL ESTERO</t>
        </is>
      </c>
      <c r="E2" s="32" t="n"/>
      <c r="F2" s="32" t="inlineStr">
        <is>
          <t>Santiago Del Estero</t>
        </is>
      </c>
      <c r="G2" s="32" t="inlineStr">
        <is>
          <t>Maxi</t>
        </is>
      </c>
      <c r="H2" s="34" t="n">
        <v>0.3</v>
      </c>
    </row>
    <row r="3">
      <c r="A3" s="14" t="inlineStr">
        <is>
          <t>Adrian Basgall</t>
        </is>
      </c>
      <c r="B3" s="33" t="n"/>
      <c r="C3" s="33" t="inlineStr">
        <is>
          <t>REPARADOR</t>
        </is>
      </c>
      <c r="D3" s="33" t="n"/>
      <c r="E3" s="33" t="inlineStr">
        <is>
          <t>Jose C Paz</t>
        </is>
      </c>
      <c r="F3" s="33" t="inlineStr">
        <is>
          <t>Buenos Aires</t>
        </is>
      </c>
      <c r="G3" s="33" t="inlineStr">
        <is>
          <t>Franco</t>
        </is>
      </c>
      <c r="H3" s="35" t="n">
        <v>0.15</v>
      </c>
    </row>
    <row r="4">
      <c r="A4" s="13" t="inlineStr">
        <is>
          <t>BURGOS</t>
        </is>
      </c>
      <c r="B4" s="32" t="n"/>
      <c r="C4" s="32" t="inlineStr">
        <is>
          <t>FERRETERIA</t>
        </is>
      </c>
      <c r="D4" s="32" t="n"/>
      <c r="E4" s="32" t="n"/>
      <c r="F4" s="32" t="n"/>
      <c r="G4" s="32" t="inlineStr">
        <is>
          <t>Maxi</t>
        </is>
      </c>
      <c r="H4" s="34" t="n">
        <v>0.3</v>
      </c>
    </row>
    <row r="5">
      <c r="A5" s="14" t="inlineStr">
        <is>
          <t>Burgos German</t>
        </is>
      </c>
      <c r="B5" s="33" t="n"/>
      <c r="C5" s="33" t="inlineStr">
        <is>
          <t>REPARADOR</t>
        </is>
      </c>
      <c r="D5" s="33" t="n"/>
      <c r="E5" s="33" t="n"/>
      <c r="F5" s="33" t="n"/>
      <c r="G5" s="33" t="inlineStr">
        <is>
          <t>Maxi</t>
        </is>
      </c>
      <c r="H5" s="35" t="n">
        <v>0.3</v>
      </c>
    </row>
    <row r="6">
      <c r="A6" s="13" t="inlineStr">
        <is>
          <t>CASA FRANCHI</t>
        </is>
      </c>
      <c r="B6" s="32" t="n">
        <v>30710798881</v>
      </c>
      <c r="C6" s="32" t="inlineStr">
        <is>
          <t>FERRETERIA</t>
        </is>
      </c>
      <c r="D6" s="32" t="n"/>
      <c r="E6" s="32" t="n"/>
      <c r="F6" s="32" t="n"/>
      <c r="G6" s="32" t="inlineStr">
        <is>
          <t>Maxi</t>
        </is>
      </c>
      <c r="H6" s="34" t="n">
        <v>0.3</v>
      </c>
    </row>
    <row r="7">
      <c r="A7" s="14" t="inlineStr">
        <is>
          <t>CASA SAENZ</t>
        </is>
      </c>
      <c r="B7" s="33" t="n">
        <v>30711229473</v>
      </c>
      <c r="C7" s="33" t="inlineStr">
        <is>
          <t>FERRETERIA</t>
        </is>
      </c>
      <c r="D7" s="33" t="n"/>
      <c r="E7" s="33" t="n"/>
      <c r="F7" s="33" t="n"/>
      <c r="G7" s="33" t="inlineStr">
        <is>
          <t>Maxi</t>
        </is>
      </c>
      <c r="H7" s="35" t="n">
        <v>0.3</v>
      </c>
    </row>
    <row r="8">
      <c r="A8" s="13" t="inlineStr">
        <is>
          <t>CAMINO REAL</t>
        </is>
      </c>
      <c r="B8" s="32" t="n"/>
      <c r="C8" s="32" t="inlineStr">
        <is>
          <t>FERRETERIA</t>
        </is>
      </c>
      <c r="D8" s="32" t="n"/>
      <c r="E8" s="32" t="n"/>
      <c r="F8" s="32" t="n"/>
      <c r="G8" s="32" t="inlineStr">
        <is>
          <t>Maxi</t>
        </is>
      </c>
      <c r="H8" s="34" t="n">
        <v>0.3</v>
      </c>
    </row>
    <row r="9">
      <c r="A9" s="14" t="inlineStr">
        <is>
          <t>DEL VALLE</t>
        </is>
      </c>
      <c r="B9" s="33" t="n"/>
      <c r="C9" s="33" t="inlineStr">
        <is>
          <t>FERRETERIA</t>
        </is>
      </c>
      <c r="D9" s="33" t="n"/>
      <c r="E9" s="33" t="n"/>
      <c r="F9" s="33" t="n"/>
      <c r="G9" s="33" t="inlineStr">
        <is>
          <t>Maxi</t>
        </is>
      </c>
      <c r="H9" s="35" t="n">
        <v>0.3</v>
      </c>
    </row>
    <row r="10">
      <c r="A10" s="13" t="inlineStr">
        <is>
          <t>EL OBRADOR</t>
        </is>
      </c>
      <c r="B10" s="32" t="n"/>
      <c r="C10" s="32" t="inlineStr">
        <is>
          <t>FERRETERIA</t>
        </is>
      </c>
      <c r="D10" s="32" t="n"/>
      <c r="E10" s="32" t="n"/>
      <c r="F10" s="32" t="n"/>
      <c r="G10" s="32" t="inlineStr">
        <is>
          <t>Maxi</t>
        </is>
      </c>
      <c r="H10" s="34" t="n">
        <v>0.3</v>
      </c>
    </row>
    <row r="11">
      <c r="A11" s="14" t="inlineStr">
        <is>
          <t>ELECTROMECÁNICA GARDEÑES</t>
        </is>
      </c>
      <c r="B11" s="33" t="n"/>
      <c r="C11" s="33" t="inlineStr">
        <is>
          <t>FERRETERIA</t>
        </is>
      </c>
      <c r="D11" s="33" t="n"/>
      <c r="E11" s="33" t="inlineStr">
        <is>
          <t>Venado Tuerto</t>
        </is>
      </c>
      <c r="F11" s="33" t="inlineStr">
        <is>
          <t>Santa Fe</t>
        </is>
      </c>
      <c r="G11" s="33" t="inlineStr">
        <is>
          <t>Maxi</t>
        </is>
      </c>
      <c r="H11" s="35" t="n">
        <v>0.3</v>
      </c>
    </row>
    <row r="12">
      <c r="A12" s="13" t="inlineStr">
        <is>
          <t>EL REFUGIO</t>
        </is>
      </c>
      <c r="B12" s="32" t="n"/>
      <c r="C12" s="32" t="inlineStr">
        <is>
          <t>FERRETERIA</t>
        </is>
      </c>
      <c r="D12" s="32" t="n"/>
      <c r="E12" s="32" t="n"/>
      <c r="F12" s="32" t="n"/>
      <c r="G12" s="32" t="inlineStr">
        <is>
          <t>Maxi</t>
        </is>
      </c>
      <c r="H12" s="34" t="n">
        <v>0.3</v>
      </c>
    </row>
    <row r="13">
      <c r="A13" s="14" t="inlineStr">
        <is>
          <t>EL TIO</t>
        </is>
      </c>
      <c r="B13" s="33" t="n"/>
      <c r="C13" s="33" t="inlineStr">
        <is>
          <t>FERRETERIA</t>
        </is>
      </c>
      <c r="D13" s="33" t="n"/>
      <c r="E13" s="33" t="n"/>
      <c r="F13" s="33" t="n"/>
      <c r="G13" s="33" t="inlineStr">
        <is>
          <t>Maxi</t>
        </is>
      </c>
      <c r="H13" s="35" t="n">
        <v>0.3</v>
      </c>
    </row>
    <row r="14">
      <c r="A14" s="13" t="inlineStr">
        <is>
          <t>ELECTRO DIAMANTE</t>
        </is>
      </c>
      <c r="B14" s="32" t="n"/>
      <c r="C14" s="32" t="inlineStr">
        <is>
          <t>FERRETERIA</t>
        </is>
      </c>
      <c r="D14" s="32" t="inlineStr">
        <is>
          <t>GBA-OESTE</t>
        </is>
      </c>
      <c r="E14" s="32" t="n"/>
      <c r="F14" s="32" t="n"/>
      <c r="G14" s="32" t="inlineStr">
        <is>
          <t>Maxi</t>
        </is>
      </c>
      <c r="H14" s="34" t="n">
        <v>0.3</v>
      </c>
    </row>
    <row r="15">
      <c r="A15" s="14" t="inlineStr">
        <is>
          <t>ELECTRO URIARTE</t>
        </is>
      </c>
      <c r="B15" s="33" t="n"/>
      <c r="C15" s="33" t="inlineStr">
        <is>
          <t>FERRETERIA</t>
        </is>
      </c>
      <c r="D15" s="33" t="n"/>
      <c r="E15" s="33" t="inlineStr">
        <is>
          <t>Banfield</t>
        </is>
      </c>
      <c r="F15" s="33" t="n"/>
      <c r="G15" s="33" t="inlineStr">
        <is>
          <t>Maxi</t>
        </is>
      </c>
      <c r="H15" s="35" t="n">
        <v>0.3</v>
      </c>
    </row>
    <row r="16">
      <c r="A16" s="13" t="inlineStr">
        <is>
          <t>FERRETERIA CHARCAS</t>
        </is>
      </c>
      <c r="B16" s="32" t="n"/>
      <c r="C16" s="32" t="inlineStr">
        <is>
          <t>FERRETERIA</t>
        </is>
      </c>
      <c r="D16" s="32" t="n"/>
      <c r="E16" s="32" t="n"/>
      <c r="F16" s="32" t="n"/>
      <c r="G16" s="32" t="inlineStr">
        <is>
          <t>Maxi</t>
        </is>
      </c>
      <c r="H16" s="34" t="n">
        <v>0.3</v>
      </c>
    </row>
    <row r="17">
      <c r="A17" s="14" t="inlineStr">
        <is>
          <t>FERRETERIA DEVOTO</t>
        </is>
      </c>
      <c r="B17" s="33" t="n"/>
      <c r="C17" s="33" t="inlineStr">
        <is>
          <t>FERRETERIA</t>
        </is>
      </c>
      <c r="D17" s="33" t="inlineStr">
        <is>
          <t>CABA</t>
        </is>
      </c>
      <c r="E17" s="33" t="n"/>
      <c r="F17" s="33" t="n"/>
      <c r="G17" s="33" t="inlineStr">
        <is>
          <t>Maxi</t>
        </is>
      </c>
      <c r="H17" s="35" t="n">
        <v>0.3</v>
      </c>
    </row>
    <row r="18">
      <c r="A18" s="13" t="inlineStr">
        <is>
          <t>FERRETERIA LISBOA</t>
        </is>
      </c>
      <c r="B18" s="32" t="n"/>
      <c r="C18" s="32" t="inlineStr">
        <is>
          <t>FERRETERIA</t>
        </is>
      </c>
      <c r="D18" s="32" t="n"/>
      <c r="E18" s="32" t="inlineStr">
        <is>
          <t>Lujan</t>
        </is>
      </c>
      <c r="F18" s="32" t="inlineStr">
        <is>
          <t>Buenos Aires</t>
        </is>
      </c>
      <c r="G18" s="32" t="inlineStr">
        <is>
          <t>Maxi</t>
        </is>
      </c>
      <c r="H18" s="34" t="n">
        <v>0.3</v>
      </c>
    </row>
    <row r="19">
      <c r="A19" s="14" t="inlineStr">
        <is>
          <t>FERRETERIA MAX</t>
        </is>
      </c>
      <c r="B19" s="33" t="n"/>
      <c r="C19" s="33" t="inlineStr">
        <is>
          <t>FERRETERIA</t>
        </is>
      </c>
      <c r="D19" s="33" t="inlineStr">
        <is>
          <t>CABA</t>
        </is>
      </c>
      <c r="E19" s="33" t="n"/>
      <c r="F19" s="33" t="n"/>
      <c r="G19" s="33" t="inlineStr">
        <is>
          <t>Maxi</t>
        </is>
      </c>
      <c r="H19" s="35" t="n">
        <v>0.3</v>
      </c>
    </row>
    <row r="20">
      <c r="A20" s="13" t="inlineStr">
        <is>
          <t>FERRETERIA OLLEROS</t>
        </is>
      </c>
      <c r="B20" s="32" t="n"/>
      <c r="C20" s="32" t="inlineStr">
        <is>
          <t>FERRETERIA</t>
        </is>
      </c>
      <c r="D20" s="32" t="n"/>
      <c r="E20" s="32" t="n"/>
      <c r="F20" s="32" t="n"/>
      <c r="G20" s="32" t="inlineStr">
        <is>
          <t>Maxi</t>
        </is>
      </c>
      <c r="H20" s="34" t="n">
        <v>0.3</v>
      </c>
    </row>
    <row r="21">
      <c r="A21" s="14" t="inlineStr">
        <is>
          <t>FERRETERIA VESTO ROJAS</t>
        </is>
      </c>
      <c r="B21" s="33" t="n"/>
      <c r="C21" s="33" t="inlineStr">
        <is>
          <t>FERRETERIA</t>
        </is>
      </c>
      <c r="D21" s="33" t="n"/>
      <c r="E21" s="33" t="n"/>
      <c r="F21" s="33" t="n"/>
      <c r="G21" s="33" t="inlineStr">
        <is>
          <t>Maxi</t>
        </is>
      </c>
      <c r="H21" s="35" t="n">
        <v>0.3</v>
      </c>
    </row>
    <row r="22">
      <c r="A22" s="13" t="inlineStr">
        <is>
          <t>FERRETERIA GLACIAR</t>
        </is>
      </c>
      <c r="B22" s="32" t="n"/>
      <c r="C22" s="32" t="inlineStr">
        <is>
          <t>FERRETERIA</t>
        </is>
      </c>
      <c r="D22" s="32" t="n"/>
      <c r="E22" s="32" t="n"/>
      <c r="F22" s="32" t="n"/>
      <c r="G22" s="32" t="inlineStr">
        <is>
          <t>Maxi</t>
        </is>
      </c>
      <c r="H22" s="34" t="n">
        <v>0.3</v>
      </c>
    </row>
    <row r="23">
      <c r="A23" s="14" t="inlineStr">
        <is>
          <t>FERRETERIA ROSSI</t>
        </is>
      </c>
      <c r="B23" s="33" t="n"/>
      <c r="C23" s="33" t="inlineStr">
        <is>
          <t>FERRETERIA</t>
        </is>
      </c>
      <c r="D23" s="33" t="n"/>
      <c r="E23" s="33" t="n"/>
      <c r="F23" s="33" t="n"/>
      <c r="G23" s="33" t="inlineStr">
        <is>
          <t>Maxi</t>
        </is>
      </c>
      <c r="H23" s="35" t="n">
        <v>0.3</v>
      </c>
    </row>
    <row r="24">
      <c r="A24" s="13" t="inlineStr">
        <is>
          <t>GALLE</t>
        </is>
      </c>
      <c r="B24" s="32" t="n"/>
      <c r="C24" s="32" t="inlineStr">
        <is>
          <t>FERRETERIA</t>
        </is>
      </c>
      <c r="D24" s="32" t="inlineStr">
        <is>
          <t>LA PLATA</t>
        </is>
      </c>
      <c r="E24" s="32" t="inlineStr">
        <is>
          <t>La Plata</t>
        </is>
      </c>
      <c r="F24" s="32" t="inlineStr">
        <is>
          <t>Buenos Aires</t>
        </is>
      </c>
      <c r="G24" s="32" t="inlineStr">
        <is>
          <t>Maxi</t>
        </is>
      </c>
      <c r="H24" s="34" t="n">
        <v>0.3</v>
      </c>
    </row>
    <row r="25">
      <c r="A25" s="14" t="inlineStr">
        <is>
          <t>IONLUX</t>
        </is>
      </c>
      <c r="B25" s="33" t="n">
        <v>20245150580</v>
      </c>
      <c r="C25" s="33" t="inlineStr">
        <is>
          <t>FERRETERIA</t>
        </is>
      </c>
      <c r="D25" s="33" t="n"/>
      <c r="E25" s="33" t="n"/>
      <c r="F25" s="33" t="n"/>
      <c r="G25" s="33" t="inlineStr">
        <is>
          <t>Maxi</t>
        </is>
      </c>
      <c r="H25" s="35" t="n">
        <v>0.3</v>
      </c>
    </row>
    <row r="26">
      <c r="A26" s="13" t="inlineStr">
        <is>
          <t>LA GLORIA DE DIOS</t>
        </is>
      </c>
      <c r="B26" s="32" t="n"/>
      <c r="C26" s="32" t="inlineStr">
        <is>
          <t>FERRETERIA</t>
        </is>
      </c>
      <c r="D26" s="32" t="n"/>
      <c r="E26" s="32" t="n"/>
      <c r="F26" s="32" t="n"/>
      <c r="G26" s="32" t="inlineStr">
        <is>
          <t>Maxi</t>
        </is>
      </c>
      <c r="H26" s="34" t="n">
        <v>0.3</v>
      </c>
    </row>
    <row r="27">
      <c r="A27" s="14" t="inlineStr">
        <is>
          <t>LA ROTONDA</t>
        </is>
      </c>
      <c r="B27" s="33" t="n">
        <v>30716914530</v>
      </c>
      <c r="C27" s="33" t="inlineStr">
        <is>
          <t>FERRETERIA</t>
        </is>
      </c>
      <c r="D27" s="33" t="n"/>
      <c r="E27" s="33" t="n"/>
      <c r="F27" s="33" t="n"/>
      <c r="G27" s="33" t="inlineStr">
        <is>
          <t>Maxi</t>
        </is>
      </c>
      <c r="H27" s="35" t="n">
        <v>0.3</v>
      </c>
    </row>
    <row r="28">
      <c r="A28" s="13" t="inlineStr">
        <is>
          <t>LOMDI</t>
        </is>
      </c>
      <c r="B28" s="32" t="n"/>
      <c r="C28" s="32" t="inlineStr">
        <is>
          <t>FERRETERIA</t>
        </is>
      </c>
      <c r="D28" s="32" t="n"/>
      <c r="E28" s="32" t="n"/>
      <c r="F28" s="32" t="n"/>
      <c r="G28" s="32" t="inlineStr">
        <is>
          <t>Maxi</t>
        </is>
      </c>
      <c r="H28" s="34" t="n">
        <v>0.3</v>
      </c>
    </row>
    <row r="29">
      <c r="A29" s="14" t="inlineStr">
        <is>
          <t>MAQTOOLS</t>
        </is>
      </c>
      <c r="B29" s="33" t="n"/>
      <c r="C29" s="33" t="inlineStr">
        <is>
          <t>FERRETERIA</t>
        </is>
      </c>
      <c r="D29" s="33" t="inlineStr">
        <is>
          <t>CABA</t>
        </is>
      </c>
      <c r="E29" s="33" t="inlineStr">
        <is>
          <t>VILLA URQUIZA</t>
        </is>
      </c>
      <c r="F29" s="33" t="n"/>
      <c r="G29" s="33" t="inlineStr">
        <is>
          <t>Maxi</t>
        </is>
      </c>
      <c r="H29" s="35" t="n">
        <v>0.3</v>
      </c>
    </row>
    <row r="30">
      <c r="A30" s="13" t="inlineStr">
        <is>
          <t>MECAN</t>
        </is>
      </c>
      <c r="B30" s="32" t="n">
        <v>30707431411</v>
      </c>
      <c r="C30" s="32" t="inlineStr">
        <is>
          <t>FERRETERIA</t>
        </is>
      </c>
      <c r="D30" s="32" t="n"/>
      <c r="E30" s="32" t="inlineStr">
        <is>
          <t>Venado Tuerto</t>
        </is>
      </c>
      <c r="F30" s="32" t="inlineStr">
        <is>
          <t>Santa Fe</t>
        </is>
      </c>
      <c r="G30" s="32" t="inlineStr">
        <is>
          <t>Maxi</t>
        </is>
      </c>
      <c r="H30" s="34" t="n">
        <v>0.3</v>
      </c>
    </row>
    <row r="31">
      <c r="A31" s="14" t="inlineStr">
        <is>
          <t>MG</t>
        </is>
      </c>
      <c r="B31" s="33" t="n"/>
      <c r="C31" s="33" t="inlineStr">
        <is>
          <t>FERRETERIA</t>
        </is>
      </c>
      <c r="D31" s="33" t="n"/>
      <c r="E31" s="33" t="n"/>
      <c r="F31" s="33" t="n"/>
      <c r="G31" s="33" t="inlineStr">
        <is>
          <t>Maxi</t>
        </is>
      </c>
      <c r="H31" s="35" t="n">
        <v>0.3</v>
      </c>
    </row>
    <row r="32">
      <c r="A32" s="13" t="inlineStr">
        <is>
          <t>MONSALVO</t>
        </is>
      </c>
      <c r="B32" s="32" t="n"/>
      <c r="C32" s="32" t="inlineStr">
        <is>
          <t>FERRETERIA</t>
        </is>
      </c>
      <c r="D32" s="32" t="n"/>
      <c r="E32" s="32" t="n"/>
      <c r="F32" s="32" t="n"/>
      <c r="G32" s="32" t="inlineStr">
        <is>
          <t>Maxi</t>
        </is>
      </c>
      <c r="H32" s="34" t="n">
        <v>0.3</v>
      </c>
    </row>
    <row r="33">
      <c r="A33" s="14" t="inlineStr">
        <is>
          <t>PACIFICO 2</t>
        </is>
      </c>
      <c r="B33" s="33" t="n">
        <v>30717230589</v>
      </c>
      <c r="C33" s="33" t="inlineStr">
        <is>
          <t>FERRETERIA</t>
        </is>
      </c>
      <c r="D33" s="33" t="n"/>
      <c r="E33" s="33" t="n"/>
      <c r="F33" s="33" t="n"/>
      <c r="G33" s="33" t="inlineStr">
        <is>
          <t>Maxi</t>
        </is>
      </c>
      <c r="H33" s="35" t="n">
        <v>0.3</v>
      </c>
    </row>
    <row r="34">
      <c r="A34" s="13" t="inlineStr">
        <is>
          <t>PACIFICO</t>
        </is>
      </c>
      <c r="B34" s="32" t="n">
        <v>30711159653</v>
      </c>
      <c r="C34" s="32" t="inlineStr">
        <is>
          <t>FERRETERIA</t>
        </is>
      </c>
      <c r="D34" s="32" t="n"/>
      <c r="E34" s="32" t="n"/>
      <c r="F34" s="32" t="n"/>
      <c r="G34" s="32" t="inlineStr">
        <is>
          <t>Maxi</t>
        </is>
      </c>
      <c r="H34" s="34" t="n">
        <v>0.3</v>
      </c>
    </row>
    <row r="35">
      <c r="A35" s="14" t="inlineStr">
        <is>
          <t>PACIFICO 3</t>
        </is>
      </c>
      <c r="B35" s="33" t="n">
        <v>30711159653</v>
      </c>
      <c r="C35" s="33" t="inlineStr">
        <is>
          <t>FERRETERIA</t>
        </is>
      </c>
      <c r="D35" s="33" t="n"/>
      <c r="E35" s="33" t="n"/>
      <c r="F35" s="33" t="n"/>
      <c r="G35" s="33" t="inlineStr">
        <is>
          <t>Maxi</t>
        </is>
      </c>
      <c r="H35" s="35" t="n">
        <v>0.3</v>
      </c>
    </row>
    <row r="36">
      <c r="A36" s="13" t="inlineStr">
        <is>
          <t>PACIFICO 4</t>
        </is>
      </c>
      <c r="B36" s="32" t="n">
        <v>30718405579</v>
      </c>
      <c r="C36" s="32" t="inlineStr">
        <is>
          <t>FERRETERIA</t>
        </is>
      </c>
      <c r="D36" s="32" t="n"/>
      <c r="E36" s="32" t="n"/>
      <c r="F36" s="32" t="n"/>
      <c r="G36" s="32" t="inlineStr">
        <is>
          <t>Maxi</t>
        </is>
      </c>
      <c r="H36" s="34" t="n">
        <v>0.3</v>
      </c>
    </row>
    <row r="37">
      <c r="A37" s="14" t="inlineStr">
        <is>
          <t>Poggi Daniel</t>
        </is>
      </c>
      <c r="B37" s="33" t="n"/>
      <c r="C37" s="33" t="inlineStr">
        <is>
          <t>REPARADOR</t>
        </is>
      </c>
      <c r="D37" s="33" t="n"/>
      <c r="E37" s="33" t="n"/>
      <c r="F37" s="33" t="n"/>
      <c r="G37" s="33" t="inlineStr">
        <is>
          <t>Maxi</t>
        </is>
      </c>
      <c r="H37" s="35" t="n">
        <v>0.3</v>
      </c>
    </row>
    <row r="38">
      <c r="A38" s="13" t="inlineStr">
        <is>
          <t>R.V</t>
        </is>
      </c>
      <c r="B38" s="32" t="n"/>
      <c r="C38" s="32" t="inlineStr">
        <is>
          <t>FERRETERIA</t>
        </is>
      </c>
      <c r="D38" s="32" t="inlineStr">
        <is>
          <t>GBA-OESTE</t>
        </is>
      </c>
      <c r="E38" s="32" t="inlineStr">
        <is>
          <t>MORON</t>
        </is>
      </c>
      <c r="F38" s="32" t="inlineStr">
        <is>
          <t>Buenos Aires</t>
        </is>
      </c>
      <c r="G38" s="32" t="inlineStr">
        <is>
          <t>Maxi</t>
        </is>
      </c>
      <c r="H38" s="34" t="n">
        <v>0.3</v>
      </c>
    </row>
    <row r="39">
      <c r="A39" s="14" t="inlineStr">
        <is>
          <t>SERVISUR</t>
        </is>
      </c>
      <c r="B39" s="33" t="n"/>
      <c r="C39" s="33" t="inlineStr">
        <is>
          <t>FERRETERIA</t>
        </is>
      </c>
      <c r="D39" s="33" t="n"/>
      <c r="E39" s="33" t="n"/>
      <c r="F39" s="33" t="n"/>
      <c r="G39" s="33" t="inlineStr">
        <is>
          <t>Maxi</t>
        </is>
      </c>
      <c r="H39" s="35" t="n">
        <v>0.3</v>
      </c>
    </row>
    <row r="40">
      <c r="A40" s="13" t="inlineStr">
        <is>
          <t>ATLANTICO</t>
        </is>
      </c>
      <c r="B40" s="32" t="n">
        <v>33711159709</v>
      </c>
      <c r="C40" s="32" t="inlineStr">
        <is>
          <t>FERRETERIA</t>
        </is>
      </c>
      <c r="D40" s="32" t="n"/>
      <c r="E40" s="32" t="n"/>
      <c r="F40" s="32" t="n"/>
      <c r="G40" s="32" t="inlineStr">
        <is>
          <t>Maxi</t>
        </is>
      </c>
      <c r="H40" s="34" t="n">
        <v>0.3</v>
      </c>
    </row>
    <row r="41">
      <c r="A41" s="14" t="inlineStr">
        <is>
          <t>LAURE</t>
        </is>
      </c>
      <c r="B41" s="33" t="n">
        <v>20920321292</v>
      </c>
      <c r="C41" s="33" t="inlineStr">
        <is>
          <t>FERRETERIA</t>
        </is>
      </c>
      <c r="D41" s="33" t="n"/>
      <c r="E41" s="33" t="n"/>
      <c r="F41" s="33" t="n"/>
      <c r="G41" s="33" t="inlineStr">
        <is>
          <t>Maxi</t>
        </is>
      </c>
      <c r="H41" s="35" t="n">
        <v>0.3</v>
      </c>
    </row>
    <row r="42">
      <c r="A42" s="13" t="inlineStr">
        <is>
          <t>MEEG +</t>
        </is>
      </c>
      <c r="B42" s="32" t="n"/>
      <c r="C42" s="32" t="inlineStr">
        <is>
          <t>FERRETERIA</t>
        </is>
      </c>
      <c r="D42" s="32" t="inlineStr">
        <is>
          <t>GBA-NORTE</t>
        </is>
      </c>
      <c r="E42" s="32" t="inlineStr">
        <is>
          <t>Escobar</t>
        </is>
      </c>
      <c r="F42" s="32" t="inlineStr">
        <is>
          <t>Buenos Aires</t>
        </is>
      </c>
      <c r="G42" s="32" t="inlineStr">
        <is>
          <t>Franco</t>
        </is>
      </c>
      <c r="H42" s="34" t="n">
        <v>0.3</v>
      </c>
    </row>
    <row r="43">
      <c r="A43" s="14" t="n"/>
      <c r="B43" s="33" t="n"/>
      <c r="C43" s="33" t="n"/>
      <c r="D43" s="33" t="n"/>
      <c r="E43" s="33" t="n"/>
      <c r="F43" s="33" t="n"/>
      <c r="G43" s="33" t="n"/>
      <c r="H43" s="35" t="n"/>
    </row>
    <row r="44">
      <c r="H44" s="34" t="n"/>
    </row>
    <row r="45">
      <c r="A45" t="inlineStr">
        <is>
          <t>A.S.C</t>
        </is>
      </c>
    </row>
    <row r="46">
      <c r="A46" t="inlineStr">
        <is>
          <t>BRUZZONE</t>
        </is>
      </c>
    </row>
    <row r="47">
      <c r="A47" t="inlineStr">
        <is>
          <t>DANIEL POGGI</t>
        </is>
      </c>
    </row>
    <row r="48">
      <c r="A48" t="inlineStr">
        <is>
          <t>EL TALLER</t>
        </is>
      </c>
    </row>
    <row r="49">
      <c r="A49" t="inlineStr">
        <is>
          <t>EL TÍO</t>
        </is>
      </c>
    </row>
    <row r="50">
      <c r="A50" t="inlineStr">
        <is>
          <t>ELECTRO GP</t>
        </is>
      </c>
    </row>
    <row r="51">
      <c r="A51" t="inlineStr">
        <is>
          <t>ELECTRO SERVICE</t>
        </is>
      </c>
    </row>
    <row r="52">
      <c r="A52" t="inlineStr">
        <is>
          <t>ELECTROMECANICA DIAMANTE</t>
        </is>
      </c>
    </row>
    <row r="53">
      <c r="A53" t="inlineStr">
        <is>
          <t>FER. VESTO ROJAS</t>
        </is>
      </c>
    </row>
    <row r="54">
      <c r="A54" t="inlineStr">
        <is>
          <t>FERRE DEVOTO</t>
        </is>
      </c>
    </row>
    <row r="55">
      <c r="A55" t="inlineStr">
        <is>
          <t>FERREMAX</t>
        </is>
      </c>
    </row>
    <row r="56">
      <c r="A56" t="inlineStr">
        <is>
          <t>FERRETERIA OMEGA</t>
        </is>
      </c>
    </row>
    <row r="57">
      <c r="A57" t="inlineStr">
        <is>
          <t>FERRETERÍA ROSSI</t>
        </is>
      </c>
    </row>
    <row r="58">
      <c r="A58" t="inlineStr">
        <is>
          <t>GLACIAR</t>
        </is>
      </c>
    </row>
    <row r="59">
      <c r="A59" t="inlineStr">
        <is>
          <t>JD</t>
        </is>
      </c>
    </row>
    <row r="60">
      <c r="A60" t="inlineStr">
        <is>
          <t>LONG-SERVICE</t>
        </is>
      </c>
    </row>
    <row r="61">
      <c r="A61" t="inlineStr">
        <is>
          <t>LOS HERMANOS</t>
        </is>
      </c>
    </row>
    <row r="62">
      <c r="A62" t="inlineStr">
        <is>
          <t>MOTORCAR</t>
        </is>
      </c>
    </row>
    <row r="63">
      <c r="A63" t="inlineStr">
        <is>
          <t>R.V.</t>
        </is>
      </c>
    </row>
    <row r="64">
      <c r="A64" t="inlineStr">
        <is>
          <t>TU BULON</t>
        </is>
      </c>
    </row>
    <row r="65">
      <c r="A65" t="inlineStr">
        <is>
          <t>URQUIOLA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2026-05-15T16:13:41Z</dcterms:created>
  <dcterms:modified xsi:type="dcterms:W3CDTF">2026-07-04T15:00:09Z</dcterms:modified>
  <cp:lastModifiedBy>Franco Ahmad</cp:lastModifiedBy>
</cp:coreProperties>
</file>